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175" documentId="11_CF13A465F779B606FD3F4AA64B976E23A289A059" xr6:coauthVersionLast="47" xr6:coauthVersionMax="47" xr10:uidLastSave="{3B4D4652-DFE9-4658-B244-55AFE3AA4A51}"/>
  <bookViews>
    <workbookView xWindow="0" yWindow="0" windowWidth="16384" windowHeight="8192" tabRatio="500" firstSheet="1" activeTab="3" xr2:uid="{00000000-000D-0000-FFFF-FFFF00000000}"/>
  </bookViews>
  <sheets>
    <sheet name="記入方法" sheetId="1" r:id="rId1"/>
    <sheet name="要件定義" sheetId="2" r:id="rId2"/>
    <sheet name="テーブル設計" sheetId="3" r:id="rId3"/>
    <sheet name="AIの境界線" sheetId="4" r:id="rId4"/>
  </sheets>
  <definedNames>
    <definedName name="_xlnm.Print_Area" localSheetId="3">AIの境界線!$B$1:$E$25</definedName>
    <definedName name="_xlnm.Print_Area" localSheetId="2">テーブル設計!$B$1:$H$52</definedName>
    <definedName name="_xlnm.Print_Area" localSheetId="1">要件定義!$B$1:$F$44</definedName>
    <definedName name="_xlnm.Print_Area" localSheetId="0">記入方法!$B$1:$C$29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0" i="3" l="1"/>
  <c r="E39" i="3"/>
  <c r="E38" i="3"/>
  <c r="E37" i="3"/>
  <c r="E36" i="3"/>
  <c r="C40" i="2"/>
  <c r="C39" i="2"/>
  <c r="C38" i="2"/>
  <c r="C37" i="2"/>
  <c r="C36" i="2"/>
  <c r="C35" i="2"/>
  <c r="C34" i="2"/>
  <c r="C33" i="2"/>
  <c r="C41" i="2" s="1"/>
</calcChain>
</file>

<file path=xl/sharedStrings.xml><?xml version="1.0" encoding="utf-8"?>
<sst xmlns="http://schemas.openxmlformats.org/spreadsheetml/2006/main" count="260" uniqueCount="199">
  <si>
    <r>
      <rPr>
        <b/>
        <sz val="16"/>
        <color rgb="FF1E2A47"/>
        <rFont val="Noto Sans CJK SC"/>
        <family val="2"/>
      </rPr>
      <t>第</t>
    </r>
    <r>
      <rPr>
        <b/>
        <sz val="16"/>
        <color rgb="FF1E2A47"/>
        <rFont val="Arial"/>
        <charset val="1"/>
      </rPr>
      <t>14</t>
    </r>
    <r>
      <rPr>
        <b/>
        <sz val="16"/>
        <color rgb="FF1E2A47"/>
        <rFont val="Noto Sans CJK SC"/>
        <family val="2"/>
      </rPr>
      <t>回 要件定義シート（個人・</t>
    </r>
    <r>
      <rPr>
        <b/>
        <sz val="16"/>
        <color rgb="FF1E2A47"/>
        <rFont val="Arial"/>
        <charset val="1"/>
      </rPr>
      <t>1</t>
    </r>
    <r>
      <rPr>
        <b/>
        <sz val="16"/>
        <color rgb="FF1E2A47"/>
        <rFont val="Noto Sans CJK SC"/>
        <family val="2"/>
      </rPr>
      <t>人</t>
    </r>
    <r>
      <rPr>
        <b/>
        <sz val="16"/>
        <color rgb="FF1E2A47"/>
        <rFont val="Arial"/>
        <charset val="1"/>
      </rPr>
      <t>1</t>
    </r>
    <r>
      <rPr>
        <b/>
        <sz val="16"/>
        <color rgb="FF1E2A47"/>
        <rFont val="Noto Sans CJK SC"/>
        <family val="2"/>
      </rPr>
      <t>ファイル）</t>
    </r>
  </si>
  <si>
    <r>
      <rPr>
        <sz val="10"/>
        <color rgb="FF5A6577"/>
        <rFont val="Noto Sans CJK SC"/>
        <family val="2"/>
      </rPr>
      <t>データベース演習（クリエーティブワークⅡ）／</t>
    </r>
    <r>
      <rPr>
        <sz val="10"/>
        <color rgb="FF5A6577"/>
        <rFont val="Arial"/>
        <charset val="1"/>
      </rPr>
      <t>2026</t>
    </r>
    <r>
      <rPr>
        <sz val="10"/>
        <color rgb="FF5A6577"/>
        <rFont val="Noto Sans CJK SC"/>
        <family val="2"/>
      </rPr>
      <t>年</t>
    </r>
    <r>
      <rPr>
        <sz val="10"/>
        <color rgb="FF5A6577"/>
        <rFont val="Arial"/>
        <charset val="1"/>
      </rPr>
      <t>9</t>
    </r>
    <r>
      <rPr>
        <sz val="10"/>
        <color rgb="FF5A6577"/>
        <rFont val="Noto Sans CJK SC"/>
        <family val="2"/>
      </rPr>
      <t>月</t>
    </r>
    <r>
      <rPr>
        <sz val="10"/>
        <color rgb="FF5A6577"/>
        <rFont val="Arial"/>
        <charset val="1"/>
      </rPr>
      <t>28</t>
    </r>
    <r>
      <rPr>
        <sz val="10"/>
        <color rgb="FF5A6577"/>
        <rFont val="Noto Sans CJK SC"/>
        <family val="2"/>
      </rPr>
      <t>日（月）／担当：山口 高幸</t>
    </r>
  </si>
  <si>
    <t>凡例（どこに書くか）</t>
  </si>
  <si>
    <r>
      <rPr>
        <b/>
        <sz val="10"/>
        <color rgb="FF1E2A47"/>
        <rFont val="Noto Sans CJK SC"/>
        <family val="2"/>
      </rPr>
      <t xml:space="preserve">黄色 </t>
    </r>
    <r>
      <rPr>
        <b/>
        <sz val="10"/>
        <color rgb="FF1E2A47"/>
        <rFont val="Arial"/>
        <charset val="1"/>
      </rPr>
      <t xml:space="preserve">× </t>
    </r>
    <r>
      <rPr>
        <b/>
        <sz val="10"/>
        <color rgb="FF1E2A47"/>
        <rFont val="Noto Sans CJK SC"/>
        <family val="2"/>
      </rPr>
      <t>青文字のセル</t>
    </r>
  </si>
  <si>
    <t>あなたが記入する欄です。ここだけ触ってください。</t>
  </si>
  <si>
    <t>グレーの見出しセル</t>
  </si>
  <si>
    <t>項目名です。編集しないでください。</t>
  </si>
  <si>
    <t>ドロップダウン付きのセル</t>
  </si>
  <si>
    <r>
      <rPr>
        <sz val="10"/>
        <color rgb="FF1E2A47"/>
        <rFont val="Noto Sans CJK SC"/>
        <family val="2"/>
      </rPr>
      <t>「テーブル設計」シートのキー種別・データ型・</t>
    </r>
    <r>
      <rPr>
        <sz val="10"/>
        <color rgb="FF1E2A47"/>
        <rFont val="Arial"/>
        <charset val="1"/>
      </rPr>
      <t>NOT NULL</t>
    </r>
    <r>
      <rPr>
        <sz val="10"/>
        <color rgb="FF1E2A47"/>
        <rFont val="Noto Sans CJK SC"/>
        <family val="2"/>
      </rPr>
      <t>、および「</t>
    </r>
    <r>
      <rPr>
        <sz val="10"/>
        <color rgb="FF1E2A47"/>
        <rFont val="Arial"/>
        <charset val="1"/>
      </rPr>
      <t>AI</t>
    </r>
    <r>
      <rPr>
        <sz val="10"/>
        <color rgb="FF1E2A47"/>
        <rFont val="Noto Sans CJK SC"/>
        <family val="2"/>
      </rPr>
      <t>の境界線」シートは、セルを選ぶと選択肢が出ます。</t>
    </r>
  </si>
  <si>
    <t>薄い文字の「例」の行</t>
  </si>
  <si>
    <t>記入例です。上書きせず、その下の行から書いてください。</t>
  </si>
  <si>
    <t>提出方法</t>
  </si>
  <si>
    <t>提出単位</t>
  </si>
  <si>
    <r>
      <rPr>
        <sz val="10"/>
        <color rgb="FF1E2A47"/>
        <rFont val="Noto Sans CJK SC"/>
        <family val="2"/>
      </rPr>
      <t>個人で</t>
    </r>
    <r>
      <rPr>
        <sz val="10"/>
        <color rgb="FF1E2A47"/>
        <rFont val="Arial"/>
        <charset val="1"/>
      </rPr>
      <t>1</t>
    </r>
    <r>
      <rPr>
        <sz val="10"/>
        <color rgb="FF1E2A47"/>
        <rFont val="Noto Sans CJK SC"/>
        <family val="2"/>
      </rPr>
      <t>ファイル。ファイル名は「学籍番号</t>
    </r>
    <r>
      <rPr>
        <sz val="10"/>
        <color rgb="FF1E2A47"/>
        <rFont val="Arial"/>
        <charset val="1"/>
      </rPr>
      <t>_</t>
    </r>
    <r>
      <rPr>
        <sz val="10"/>
        <color rgb="FF1E2A47"/>
        <rFont val="Noto Sans CJK SC"/>
        <family val="2"/>
      </rPr>
      <t>氏名</t>
    </r>
    <r>
      <rPr>
        <sz val="10"/>
        <color rgb="FF1E2A47"/>
        <rFont val="Arial"/>
        <charset val="1"/>
      </rPr>
      <t>_</t>
    </r>
    <r>
      <rPr>
        <sz val="10"/>
        <color rgb="FF1E2A47"/>
        <rFont val="Noto Sans CJK SC"/>
        <family val="2"/>
      </rPr>
      <t>要件定義シート</t>
    </r>
    <r>
      <rPr>
        <sz val="10"/>
        <color rgb="FF1E2A47"/>
        <rFont val="Arial"/>
        <charset val="1"/>
      </rPr>
      <t>.xlsx</t>
    </r>
    <r>
      <rPr>
        <sz val="10"/>
        <color rgb="FF1E2A47"/>
        <rFont val="Noto Sans CJK SC"/>
        <family val="2"/>
      </rPr>
      <t>」に変えて提出してください。</t>
    </r>
  </si>
  <si>
    <t>提出先</t>
  </si>
  <si>
    <r>
      <rPr>
        <sz val="10"/>
        <color rgb="FF1E2A47"/>
        <rFont val="Arial"/>
        <charset val="1"/>
      </rPr>
      <t xml:space="preserve">Microsoft Teams </t>
    </r>
    <r>
      <rPr>
        <sz val="10"/>
        <color rgb="FF1E2A47"/>
        <rFont val="Noto Sans CJK SC"/>
        <family val="2"/>
      </rPr>
      <t>＞ データベース演習 ＞「課題」＞ 第</t>
    </r>
    <r>
      <rPr>
        <sz val="10"/>
        <color rgb="FF1E2A47"/>
        <rFont val="Arial"/>
        <charset val="1"/>
      </rPr>
      <t>14</t>
    </r>
    <r>
      <rPr>
        <sz val="10"/>
        <color rgb="FF1E2A47"/>
        <rFont val="Noto Sans CJK SC"/>
        <family val="2"/>
      </rPr>
      <t>回 要件定義シート</t>
    </r>
  </si>
  <si>
    <t>締切</t>
  </si>
  <si>
    <r>
      <rPr>
        <sz val="10"/>
        <color rgb="FF1E2A47"/>
        <rFont val="Arial"/>
        <charset val="1"/>
      </rPr>
      <t>2026</t>
    </r>
    <r>
      <rPr>
        <sz val="10"/>
        <color rgb="FF1E2A47"/>
        <rFont val="Noto Sans CJK SC"/>
        <family val="2"/>
      </rPr>
      <t>年</t>
    </r>
    <r>
      <rPr>
        <sz val="10"/>
        <color rgb="FF1E2A47"/>
        <rFont val="Arial"/>
        <charset val="1"/>
      </rPr>
      <t>9</t>
    </r>
    <r>
      <rPr>
        <sz val="10"/>
        <color rgb="FF1E2A47"/>
        <rFont val="Noto Sans CJK SC"/>
        <family val="2"/>
      </rPr>
      <t>月</t>
    </r>
    <r>
      <rPr>
        <sz val="10"/>
        <color rgb="FF1E2A47"/>
        <rFont val="Arial"/>
        <charset val="1"/>
      </rPr>
      <t>28</t>
    </r>
    <r>
      <rPr>
        <sz val="10"/>
        <color rgb="FF1E2A47"/>
        <rFont val="Noto Sans CJK SC"/>
        <family val="2"/>
      </rPr>
      <t>日（月）</t>
    </r>
    <r>
      <rPr>
        <sz val="10"/>
        <color rgb="FF1E2A47"/>
        <rFont val="Arial"/>
        <charset val="1"/>
      </rPr>
      <t>19:50</t>
    </r>
    <r>
      <rPr>
        <sz val="10"/>
        <color rgb="FF1E2A47"/>
        <rFont val="Noto Sans CJK SC"/>
        <family val="2"/>
      </rPr>
      <t>（授業内）</t>
    </r>
  </si>
  <si>
    <t>未完成でも提出可</t>
  </si>
  <si>
    <t>空欄が残っていても提出してください。書けなかった箇所こそ、次回に相談したいところです。</t>
  </si>
  <si>
    <t>後期の評価との対応（このシートがどこに効くか）</t>
  </si>
  <si>
    <r>
      <rPr>
        <b/>
        <sz val="10"/>
        <color rgb="FF1E2A47"/>
        <rFont val="Arial"/>
        <charset val="1"/>
      </rPr>
      <t xml:space="preserve">(4) </t>
    </r>
    <r>
      <rPr>
        <b/>
        <sz val="10"/>
        <color rgb="FF1E2A47"/>
        <rFont val="Noto Sans CJK SC"/>
        <family val="2"/>
      </rPr>
      <t xml:space="preserve">企画・課題発見 </t>
    </r>
    <r>
      <rPr>
        <b/>
        <sz val="10"/>
        <color rgb="FF1E2A47"/>
        <rFont val="Arial"/>
        <charset val="1"/>
      </rPr>
      <t>15</t>
    </r>
    <r>
      <rPr>
        <b/>
        <sz val="10"/>
        <color rgb="FF1E2A47"/>
        <rFont val="Noto Sans CJK SC"/>
        <family val="2"/>
      </rPr>
      <t>点</t>
    </r>
  </si>
  <si>
    <t>「要件定義」シートの ①誰が困っているか ②いつ・どんな場面で ⑤独自性 が、そのまま採点対象です。</t>
  </si>
  <si>
    <r>
      <rPr>
        <b/>
        <sz val="10"/>
        <color rgb="FF1E2A47"/>
        <rFont val="Arial"/>
        <charset val="1"/>
      </rPr>
      <t xml:space="preserve">(5) </t>
    </r>
    <r>
      <rPr>
        <b/>
        <sz val="10"/>
        <color rgb="FF1E2A47"/>
        <rFont val="Noto Sans CJK SC"/>
        <family val="2"/>
      </rPr>
      <t xml:space="preserve">制作物の完成度 </t>
    </r>
    <r>
      <rPr>
        <b/>
        <sz val="10"/>
        <color rgb="FF1E2A47"/>
        <rFont val="Arial"/>
        <charset val="1"/>
      </rPr>
      <t>15</t>
    </r>
    <r>
      <rPr>
        <b/>
        <sz val="10"/>
        <color rgb="FF1E2A47"/>
        <rFont val="Noto Sans CJK SC"/>
        <family val="2"/>
      </rPr>
      <t>点</t>
    </r>
  </si>
  <si>
    <r>
      <rPr>
        <sz val="10"/>
        <color rgb="FF1E2A47"/>
        <rFont val="Noto Sans CJK SC"/>
        <family val="2"/>
      </rPr>
      <t>「テーブル設計」シートの妥当性が、第</t>
    </r>
    <r>
      <rPr>
        <sz val="10"/>
        <color rgb="FF1E2A47"/>
        <rFont val="Arial"/>
        <charset val="1"/>
      </rPr>
      <t>26</t>
    </r>
    <r>
      <rPr>
        <sz val="10"/>
        <color rgb="FF1E2A47"/>
        <rFont val="Noto Sans CJK SC"/>
        <family val="2"/>
      </rPr>
      <t>回に別表</t>
    </r>
    <r>
      <rPr>
        <sz val="10"/>
        <color rgb="FF1E2A47"/>
        <rFont val="Arial"/>
        <charset val="1"/>
      </rPr>
      <t>4</t>
    </r>
    <r>
      <rPr>
        <sz val="10"/>
        <color rgb="FF1E2A47"/>
        <rFont val="Noto Sans CJK SC"/>
        <family val="2"/>
      </rPr>
      <t>で採点されます。</t>
    </r>
  </si>
  <si>
    <r>
      <rPr>
        <b/>
        <sz val="10"/>
        <color rgb="FF1E2A47"/>
        <rFont val="Arial"/>
        <charset val="1"/>
      </rPr>
      <t xml:space="preserve">(6) </t>
    </r>
    <r>
      <rPr>
        <b/>
        <sz val="10"/>
        <color rgb="FF1E2A47"/>
        <rFont val="Noto Sans CJK SC"/>
        <family val="2"/>
      </rPr>
      <t xml:space="preserve">プレゼンテーション </t>
    </r>
    <r>
      <rPr>
        <b/>
        <sz val="10"/>
        <color rgb="FF1E2A47"/>
        <rFont val="Arial"/>
        <charset val="1"/>
      </rPr>
      <t>10</t>
    </r>
    <r>
      <rPr>
        <b/>
        <sz val="10"/>
        <color rgb="FF1E2A47"/>
        <rFont val="Noto Sans CJK SC"/>
        <family val="2"/>
      </rPr>
      <t>点</t>
    </r>
  </si>
  <si>
    <r>
      <rPr>
        <sz val="10"/>
        <color rgb="FF1E2A47"/>
        <rFont val="Noto Sans CJK SC"/>
        <family val="2"/>
      </rPr>
      <t>①〜④を各</t>
    </r>
    <r>
      <rPr>
        <sz val="10"/>
        <color rgb="FF1E2A47"/>
        <rFont val="Arial"/>
        <charset val="1"/>
      </rPr>
      <t>15</t>
    </r>
    <r>
      <rPr>
        <sz val="10"/>
        <color rgb="FF1E2A47"/>
        <rFont val="Noto Sans CJK SC"/>
        <family val="2"/>
      </rPr>
      <t>秒で読み上げると、ちょうど</t>
    </r>
    <r>
      <rPr>
        <sz val="10"/>
        <color rgb="FF1E2A47"/>
        <rFont val="Arial"/>
        <charset val="1"/>
      </rPr>
      <t>1</t>
    </r>
    <r>
      <rPr>
        <sz val="10"/>
        <color rgb="FF1E2A47"/>
        <rFont val="Noto Sans CJK SC"/>
        <family val="2"/>
      </rPr>
      <t>分のピッチになります。</t>
    </r>
  </si>
  <si>
    <r>
      <rPr>
        <b/>
        <sz val="10"/>
        <color rgb="FF1E2A47"/>
        <rFont val="Noto Sans CJK SC"/>
        <family val="2"/>
      </rPr>
      <t>別表</t>
    </r>
    <r>
      <rPr>
        <b/>
        <sz val="10"/>
        <color rgb="FF1E2A47"/>
        <rFont val="Arial"/>
        <charset val="1"/>
      </rPr>
      <t>2 AI</t>
    </r>
    <r>
      <rPr>
        <b/>
        <sz val="10"/>
        <color rgb="FF1E2A47"/>
        <rFont val="Noto Sans CJK SC"/>
        <family val="2"/>
      </rPr>
      <t>使用箇所の自覚</t>
    </r>
  </si>
  <si>
    <r>
      <rPr>
        <sz val="10"/>
        <color rgb="FF1E2A47"/>
        <rFont val="Noto Sans CJK SC"/>
        <family val="2"/>
      </rPr>
      <t>「</t>
    </r>
    <r>
      <rPr>
        <sz val="10"/>
        <color rgb="FF1E2A47"/>
        <rFont val="Arial"/>
        <charset val="1"/>
      </rPr>
      <t>AI</t>
    </r>
    <r>
      <rPr>
        <sz val="10"/>
        <color rgb="FF1E2A47"/>
        <rFont val="Noto Sans CJK SC"/>
        <family val="2"/>
      </rPr>
      <t>の境界線」シートが、第</t>
    </r>
    <r>
      <rPr>
        <sz val="10"/>
        <color rgb="FF1E2A47"/>
        <rFont val="Arial"/>
        <charset val="1"/>
      </rPr>
      <t>25</t>
    </r>
    <r>
      <rPr>
        <sz val="10"/>
        <color rgb="FF1E2A47"/>
        <rFont val="Noto Sans CJK SC"/>
        <family val="2"/>
      </rPr>
      <t>回の口頭試問でそのまま質問リストになります。</t>
    </r>
  </si>
  <si>
    <r>
      <rPr>
        <b/>
        <sz val="11"/>
        <color rgb="FFFFFFFF"/>
        <rFont val="Arial"/>
        <charset val="1"/>
      </rPr>
      <t>AI</t>
    </r>
    <r>
      <rPr>
        <b/>
        <sz val="11"/>
        <color rgb="FFFFFFFF"/>
        <rFont val="Noto Sans CJK SC"/>
        <family val="2"/>
      </rPr>
      <t>利用のルール（</t>
    </r>
    <r>
      <rPr>
        <b/>
        <sz val="11"/>
        <color rgb="FFFFFFFF"/>
        <rFont val="Arial"/>
        <charset val="1"/>
      </rPr>
      <t>3</t>
    </r>
    <r>
      <rPr>
        <b/>
        <sz val="11"/>
        <color rgb="FFFFFFFF"/>
        <rFont val="Noto Sans CJK SC"/>
        <family val="2"/>
      </rPr>
      <t>つだけ）</t>
    </r>
  </si>
  <si>
    <t>① 説明できない実装は評価しない</t>
  </si>
  <si>
    <t>動いているかどうかではなく、なぜその設計・実装にしたかを言えるかで採点します。</t>
  </si>
  <si>
    <r>
      <rPr>
        <b/>
        <sz val="10"/>
        <color rgb="FF1E2A47"/>
        <rFont val="Arial"/>
        <charset val="1"/>
      </rPr>
      <t>② AI</t>
    </r>
    <r>
      <rPr>
        <b/>
        <sz val="10"/>
        <color rgb="FF1E2A47"/>
        <rFont val="Noto Sans CJK SC"/>
        <family val="2"/>
      </rPr>
      <t>使用箇所を</t>
    </r>
    <r>
      <rPr>
        <b/>
        <sz val="10"/>
        <color rgb="FF1E2A47"/>
        <rFont val="Arial"/>
        <charset val="1"/>
      </rPr>
      <t>3</t>
    </r>
    <r>
      <rPr>
        <b/>
        <sz val="10"/>
        <color rgb="FF1E2A47"/>
        <rFont val="Noto Sans CJK SC"/>
        <family val="2"/>
      </rPr>
      <t>区分で記録する</t>
    </r>
  </si>
  <si>
    <r>
      <rPr>
        <sz val="10"/>
        <color rgb="FF1E2A47"/>
        <rFont val="Arial"/>
        <charset val="1"/>
      </rPr>
      <t>README</t>
    </r>
    <r>
      <rPr>
        <sz val="10"/>
        <color rgb="FF1E2A47"/>
        <rFont val="Noto Sans CJK SC"/>
        <family val="2"/>
      </rPr>
      <t>に「自分が書いた／</t>
    </r>
    <r>
      <rPr>
        <sz val="10"/>
        <color rgb="FF1E2A47"/>
        <rFont val="Arial"/>
        <charset val="1"/>
      </rPr>
      <t>AI</t>
    </r>
    <r>
      <rPr>
        <sz val="10"/>
        <color rgb="FF1E2A47"/>
        <rFont val="Noto Sans CJK SC"/>
        <family val="2"/>
      </rPr>
      <t>が書いた／</t>
    </r>
    <r>
      <rPr>
        <sz val="10"/>
        <color rgb="FF1E2A47"/>
        <rFont val="Arial"/>
        <charset val="1"/>
      </rPr>
      <t>AI</t>
    </r>
    <r>
      <rPr>
        <sz val="10"/>
        <color rgb="FF1E2A47"/>
        <rFont val="Noto Sans CJK SC"/>
        <family val="2"/>
      </rPr>
      <t>が書いたものを自分が直した」を明記します。</t>
    </r>
  </si>
  <si>
    <r>
      <rPr>
        <b/>
        <sz val="10"/>
        <color rgb="FF1E2A47"/>
        <rFont val="Arial"/>
        <charset val="1"/>
      </rPr>
      <t>③ DB</t>
    </r>
    <r>
      <rPr>
        <b/>
        <sz val="10"/>
        <color rgb="FF1E2A47"/>
        <rFont val="Noto Sans CJK SC"/>
        <family val="2"/>
      </rPr>
      <t>設計だけは</t>
    </r>
    <r>
      <rPr>
        <b/>
        <sz val="10"/>
        <color rgb="FF1E2A47"/>
        <rFont val="Arial"/>
        <charset val="1"/>
      </rPr>
      <t>AI</t>
    </r>
    <r>
      <rPr>
        <b/>
        <sz val="10"/>
        <color rgb="FF1E2A47"/>
        <rFont val="Noto Sans CJK SC"/>
        <family val="2"/>
      </rPr>
      <t>に丸投げしない</t>
    </r>
  </si>
  <si>
    <r>
      <rPr>
        <sz val="10"/>
        <color rgb="FF1E2A47"/>
        <rFont val="Noto Sans CJK SC"/>
        <family val="2"/>
      </rPr>
      <t>テーブル構成・キー・型は自分で決めます。</t>
    </r>
    <r>
      <rPr>
        <sz val="10"/>
        <color rgb="FF1E2A47"/>
        <rFont val="Arial"/>
        <charset val="1"/>
      </rPr>
      <t>AI</t>
    </r>
    <r>
      <rPr>
        <sz val="10"/>
        <color rgb="FF1E2A47"/>
        <rFont val="Noto Sans CJK SC"/>
        <family val="2"/>
      </rPr>
      <t>の案を採用する場合は、採用理由を言えること。</t>
    </r>
  </si>
  <si>
    <r>
      <rPr>
        <sz val="9"/>
        <color rgb="FF5A6577"/>
        <rFont val="Noto Sans CJK SC"/>
        <family val="2"/>
      </rPr>
      <t>※ この</t>
    </r>
    <r>
      <rPr>
        <sz val="9"/>
        <color rgb="FF5A6577"/>
        <rFont val="Arial"/>
        <charset val="1"/>
      </rPr>
      <t>3</t>
    </r>
    <r>
      <rPr>
        <sz val="9"/>
        <color rgb="FF5A6577"/>
        <rFont val="Noto Sans CJK SC"/>
        <family val="2"/>
      </rPr>
      <t>つを守れば、</t>
    </r>
    <r>
      <rPr>
        <sz val="9"/>
        <color rgb="FF5A6577"/>
        <rFont val="Arial"/>
        <charset val="1"/>
      </rPr>
      <t>AI</t>
    </r>
    <r>
      <rPr>
        <sz val="9"/>
        <color rgb="FF5A6577"/>
        <rFont val="Noto Sans CJK SC"/>
        <family val="2"/>
      </rPr>
      <t>はいくら使っても構いません。むしろ使わない方が不利になります。</t>
    </r>
  </si>
  <si>
    <t>要件定義シート</t>
  </si>
  <si>
    <r>
      <rPr>
        <sz val="9"/>
        <color rgb="FF5A6577"/>
        <rFont val="Noto Sans CJK SC"/>
        <family val="2"/>
      </rPr>
      <t>黄色のセルに記入。書いた順番が、そのまま話す順番になります（①〜④を各</t>
    </r>
    <r>
      <rPr>
        <sz val="9"/>
        <color rgb="FF5A6577"/>
        <rFont val="Arial"/>
        <charset val="1"/>
      </rPr>
      <t>15</t>
    </r>
    <r>
      <rPr>
        <sz val="9"/>
        <color rgb="FF5A6577"/>
        <rFont val="Noto Sans CJK SC"/>
        <family val="2"/>
      </rPr>
      <t>秒＝ちょうど</t>
    </r>
    <r>
      <rPr>
        <sz val="9"/>
        <color rgb="FF5A6577"/>
        <rFont val="Arial"/>
        <charset val="1"/>
      </rPr>
      <t>1</t>
    </r>
    <r>
      <rPr>
        <sz val="9"/>
        <color rgb="FF5A6577"/>
        <rFont val="Noto Sans CJK SC"/>
        <family val="2"/>
      </rPr>
      <t>分）。</t>
    </r>
  </si>
  <si>
    <r>
      <rPr>
        <b/>
        <sz val="11"/>
        <color rgb="FFFFFFFF"/>
        <rFont val="Arial"/>
        <charset val="1"/>
      </rPr>
      <t xml:space="preserve">0. </t>
    </r>
    <r>
      <rPr>
        <b/>
        <sz val="11"/>
        <color rgb="FFFFFFFF"/>
        <rFont val="Noto Sans CJK SC"/>
        <family val="2"/>
      </rPr>
      <t>基本情報</t>
    </r>
  </si>
  <si>
    <t>学籍番号</t>
  </si>
  <si>
    <t>2595AE0001</t>
  </si>
  <si>
    <t>氏名</t>
  </si>
  <si>
    <t>大類愁人</t>
  </si>
  <si>
    <t>テーマ名</t>
  </si>
  <si>
    <t>旅行しおり、プラン作成</t>
  </si>
  <si>
    <r>
      <rPr>
        <sz val="9"/>
        <color rgb="FF5A6577"/>
        <rFont val="Noto Sans CJK SC"/>
        <family val="2"/>
      </rPr>
      <t>※ 第</t>
    </r>
    <r>
      <rPr>
        <sz val="9"/>
        <color rgb="FF5A6577"/>
        <rFont val="Arial"/>
        <charset val="1"/>
      </rPr>
      <t>13</t>
    </r>
    <r>
      <rPr>
        <sz val="9"/>
        <color rgb="FF5A6577"/>
        <rFont val="Noto Sans CJK SC"/>
        <family val="2"/>
      </rPr>
      <t>回のピッチのテーマで</t>
    </r>
    <r>
      <rPr>
        <sz val="9"/>
        <color rgb="FF5A6577"/>
        <rFont val="Arial"/>
        <charset val="1"/>
      </rPr>
      <t>OK</t>
    </r>
    <r>
      <rPr>
        <sz val="9"/>
        <color rgb="FF5A6577"/>
        <rFont val="Noto Sans CJK SC"/>
        <family val="2"/>
      </rPr>
      <t>。変更しても構いません。</t>
    </r>
  </si>
  <si>
    <r>
      <rPr>
        <b/>
        <sz val="11"/>
        <color rgb="FFFFFFFF"/>
        <rFont val="Arial"/>
        <charset val="1"/>
      </rPr>
      <t xml:space="preserve">1. </t>
    </r>
    <r>
      <rPr>
        <b/>
        <sz val="11"/>
        <color rgb="FFFFFFFF"/>
        <rFont val="Noto Sans CJK SC"/>
        <family val="2"/>
      </rPr>
      <t>課題（①〜③）　※ここが評価項目</t>
    </r>
    <r>
      <rPr>
        <b/>
        <sz val="11"/>
        <color rgb="FFFFFFFF"/>
        <rFont val="Arial"/>
        <charset val="1"/>
      </rPr>
      <t xml:space="preserve">(4) </t>
    </r>
    <r>
      <rPr>
        <b/>
        <sz val="11"/>
        <color rgb="FFFFFFFF"/>
        <rFont val="Noto Sans CJK SC"/>
        <family val="2"/>
      </rPr>
      <t xml:space="preserve">企画・課題発見 </t>
    </r>
    <r>
      <rPr>
        <b/>
        <sz val="11"/>
        <color rgb="FFFFFFFF"/>
        <rFont val="Arial"/>
        <charset val="1"/>
      </rPr>
      <t>15</t>
    </r>
    <r>
      <rPr>
        <b/>
        <sz val="11"/>
        <color rgb="FFFFFFFF"/>
        <rFont val="Noto Sans CJK SC"/>
        <family val="2"/>
      </rPr>
      <t>点の対象です</t>
    </r>
  </si>
  <si>
    <r>
      <rPr>
        <b/>
        <sz val="9.5"/>
        <color rgb="FF1E2A47"/>
        <rFont val="Noto Sans CJK SC"/>
        <family val="2"/>
      </rPr>
      <t>① 誰が困っているか
（</t>
    </r>
    <r>
      <rPr>
        <b/>
        <sz val="9.5"/>
        <color rgb="FF1E2A47"/>
        <rFont val="Arial"/>
        <charset val="1"/>
      </rPr>
      <t>15</t>
    </r>
    <r>
      <rPr>
        <b/>
        <sz val="9.5"/>
        <color rgb="FF1E2A47"/>
        <rFont val="Noto Sans CJK SC"/>
        <family val="2"/>
      </rPr>
      <t>秒で話す分）</t>
    </r>
  </si>
  <si>
    <t>自分</t>
  </si>
  <si>
    <r>
      <rPr>
        <sz val="8.5"/>
        <color rgb="FF5A6577"/>
        <rFont val="Noto Sans CJK SC"/>
        <family val="2"/>
      </rPr>
      <t>　ヒント：「学生全般」「みんな」は</t>
    </r>
    <r>
      <rPr>
        <sz val="8.5"/>
        <color rgb="FF5A6577"/>
        <rFont val="Arial"/>
        <charset val="1"/>
      </rPr>
      <t>NG</t>
    </r>
    <r>
      <rPr>
        <sz val="8.5"/>
        <color rgb="FF5A6577"/>
        <rFont val="Noto Sans CJK SC"/>
        <family val="2"/>
      </rPr>
      <t>。</t>
    </r>
    <r>
      <rPr>
        <sz val="8.5"/>
        <color rgb="FF5A6577"/>
        <rFont val="Arial"/>
        <charset val="1"/>
      </rPr>
      <t>1</t>
    </r>
    <r>
      <rPr>
        <sz val="8.5"/>
        <color rgb="FF5A6577"/>
        <rFont val="Noto Sans CJK SC"/>
        <family val="2"/>
      </rPr>
      <t>人の顔が浮かぶまで絞ること</t>
    </r>
  </si>
  <si>
    <r>
      <rPr>
        <b/>
        <sz val="9.5"/>
        <color rgb="FF1E2A47"/>
        <rFont val="Noto Sans CJK SC"/>
        <family val="2"/>
      </rPr>
      <t>② いつ・どんな場面で
（</t>
    </r>
    <r>
      <rPr>
        <b/>
        <sz val="9.5"/>
        <color rgb="FF1E2A47"/>
        <rFont val="Arial"/>
        <charset val="1"/>
      </rPr>
      <t>15</t>
    </r>
    <r>
      <rPr>
        <b/>
        <sz val="9.5"/>
        <color rgb="FF1E2A47"/>
        <rFont val="Noto Sans CJK SC"/>
        <family val="2"/>
      </rPr>
      <t>秒で話す分）</t>
    </r>
  </si>
  <si>
    <t>旅行プラン、しおりをまとめるのが大変。めんどくさい。ほかの人とかといっしょに共有しながら楽しくやりたい</t>
  </si>
  <si>
    <t>　ヒント：具体的な日・時間帯・場所まで書けると強い</t>
  </si>
  <si>
    <r>
      <rPr>
        <b/>
        <sz val="9.5"/>
        <color rgb="FF1E2A47"/>
        <rFont val="Noto Sans CJK SC"/>
        <family val="2"/>
      </rPr>
      <t>③ 今どうしているか
（</t>
    </r>
    <r>
      <rPr>
        <b/>
        <sz val="9.5"/>
        <color rgb="FF1E2A47"/>
        <rFont val="Arial"/>
        <charset val="1"/>
      </rPr>
      <t>15</t>
    </r>
    <r>
      <rPr>
        <b/>
        <sz val="9.5"/>
        <color rgb="FF1E2A47"/>
        <rFont val="Noto Sans CJK SC"/>
        <family val="2"/>
      </rPr>
      <t>秒で話す分）</t>
    </r>
  </si>
  <si>
    <t>自分で調べて、まとめている</t>
  </si>
  <si>
    <r>
      <rPr>
        <sz val="8.5"/>
        <color rgb="FF5A6577"/>
        <rFont val="Noto Sans CJK SC"/>
        <family val="2"/>
      </rPr>
      <t>　ヒント：紙／</t>
    </r>
    <r>
      <rPr>
        <sz val="8.5"/>
        <color rgb="FF5A6577"/>
        <rFont val="Arial"/>
        <charset val="1"/>
      </rPr>
      <t>LINE</t>
    </r>
    <r>
      <rPr>
        <sz val="8.5"/>
        <color rgb="FF5A6577"/>
        <rFont val="Noto Sans CJK SC"/>
        <family val="2"/>
      </rPr>
      <t>／</t>
    </r>
    <r>
      <rPr>
        <sz val="8.5"/>
        <color rgb="FF5A6577"/>
        <rFont val="Arial"/>
        <charset val="1"/>
      </rPr>
      <t>Excel</t>
    </r>
    <r>
      <rPr>
        <sz val="8.5"/>
        <color rgb="FF5A6577"/>
        <rFont val="Noto Sans CJK SC"/>
        <family val="2"/>
      </rPr>
      <t>／記憶／諦めている、など</t>
    </r>
  </si>
  <si>
    <r>
      <rPr>
        <b/>
        <sz val="11"/>
        <color rgb="FFFFFFFF"/>
        <rFont val="Arial"/>
        <charset val="1"/>
      </rPr>
      <t xml:space="preserve">2. </t>
    </r>
    <r>
      <rPr>
        <b/>
        <sz val="11"/>
        <color rgb="FFFFFFFF"/>
        <rFont val="Noto Sans CJK SC"/>
        <family val="2"/>
      </rPr>
      <t>作るもの（④〜⑥）</t>
    </r>
  </si>
  <si>
    <r>
      <rPr>
        <b/>
        <sz val="9.5"/>
        <color rgb="FF1E2A47"/>
        <rFont val="Noto Sans CJK SC"/>
        <family val="2"/>
      </rPr>
      <t>④ これだけは動く、という</t>
    </r>
    <r>
      <rPr>
        <b/>
        <sz val="9.5"/>
        <color rgb="FF1E2A47"/>
        <rFont val="Arial"/>
        <charset val="1"/>
      </rPr>
      <t>1</t>
    </r>
    <r>
      <rPr>
        <b/>
        <sz val="9.5"/>
        <color rgb="FF1E2A47"/>
        <rFont val="Noto Sans CJK SC"/>
        <family val="2"/>
      </rPr>
      <t>機能
（</t>
    </r>
    <r>
      <rPr>
        <b/>
        <sz val="9.5"/>
        <color rgb="FF1E2A47"/>
        <rFont val="Arial"/>
        <charset val="1"/>
      </rPr>
      <t>20</t>
    </r>
    <r>
      <rPr>
        <b/>
        <sz val="9.5"/>
        <color rgb="FF1E2A47"/>
        <rFont val="Noto Sans CJK SC"/>
        <family val="2"/>
      </rPr>
      <t>秒で話す分）</t>
    </r>
  </si>
  <si>
    <t>旅行をまとめられて、</t>
  </si>
  <si>
    <r>
      <rPr>
        <sz val="8.5"/>
        <color rgb="FF5A6577"/>
        <rFont val="Noto Sans CJK SC"/>
        <family val="2"/>
      </rPr>
      <t>　ヒント：全部作ろうとすると必ず落ちます。</t>
    </r>
    <r>
      <rPr>
        <sz val="8.5"/>
        <color rgb="FF5A6577"/>
        <rFont val="Arial"/>
        <charset val="1"/>
      </rPr>
      <t>1</t>
    </r>
    <r>
      <rPr>
        <sz val="8.5"/>
        <color rgb="FF5A6577"/>
        <rFont val="Noto Sans CJK SC"/>
        <family val="2"/>
      </rPr>
      <t>つだけ決める。残りは「できたらやる」に回す</t>
    </r>
  </si>
  <si>
    <t>⑤ 独自性はどこか</t>
  </si>
  <si>
    <t>複数人が旅行のプランを決められ、共有できる。整理できるようにする。</t>
  </si>
  <si>
    <r>
      <rPr>
        <sz val="8.5"/>
        <color rgb="FF5A6577"/>
        <rFont val="Noto Sans CJK SC"/>
        <family val="2"/>
      </rPr>
      <t>　ヒント：</t>
    </r>
    <r>
      <rPr>
        <sz val="8.5"/>
        <color rgb="FF5A6577"/>
        <rFont val="Arial"/>
        <charset val="1"/>
      </rPr>
      <t>AI</t>
    </r>
    <r>
      <rPr>
        <sz val="8.5"/>
        <color rgb="FF5A6577"/>
        <rFont val="Noto Sans CJK SC"/>
        <family val="2"/>
      </rPr>
      <t>に同じ要件を投げても出てこない着眼点・組み合わせ・体験。ここが別表</t>
    </r>
    <r>
      <rPr>
        <sz val="8.5"/>
        <color rgb="FF5A6577"/>
        <rFont val="Arial"/>
        <charset val="1"/>
      </rPr>
      <t>1</t>
    </r>
    <r>
      <rPr>
        <sz val="8.5"/>
        <color rgb="FF5A6577"/>
        <rFont val="Noto Sans CJK SC"/>
        <family val="2"/>
      </rPr>
      <t>の</t>
    </r>
    <r>
      <rPr>
        <sz val="8.5"/>
        <color rgb="FF5A6577"/>
        <rFont val="Arial"/>
        <charset val="1"/>
      </rPr>
      <t>5</t>
    </r>
    <r>
      <rPr>
        <sz val="8.5"/>
        <color rgb="FF5A6577"/>
        <rFont val="Noto Sans CJK SC"/>
        <family val="2"/>
      </rPr>
      <t>点</t>
    </r>
  </si>
  <si>
    <t>⑥ 完成の定義</t>
  </si>
  <si>
    <t>旅行のプランが複数人が共有できる</t>
  </si>
  <si>
    <r>
      <rPr>
        <sz val="8.5"/>
        <color rgb="FF5A6577"/>
        <rFont val="Noto Sans CJK SC"/>
        <family val="2"/>
      </rPr>
      <t>　ヒント：「何ができたら完成と言えるか」。第</t>
    </r>
    <r>
      <rPr>
        <sz val="8.5"/>
        <color rgb="FF5A6577"/>
        <rFont val="Arial"/>
        <charset val="1"/>
      </rPr>
      <t>21</t>
    </r>
    <r>
      <rPr>
        <sz val="8.5"/>
        <color rgb="FF5A6577"/>
        <rFont val="Noto Sans CJK SC"/>
        <family val="2"/>
      </rPr>
      <t>回の中間ピッチと第</t>
    </r>
    <r>
      <rPr>
        <sz val="8.5"/>
        <color rgb="FF5A6577"/>
        <rFont val="Arial"/>
        <charset val="1"/>
      </rPr>
      <t>26</t>
    </r>
    <r>
      <rPr>
        <sz val="8.5"/>
        <color rgb="FF5A6577"/>
        <rFont val="Noto Sans CJK SC"/>
        <family val="2"/>
      </rPr>
      <t>回の最終発表の判定基準になります</t>
    </r>
  </si>
  <si>
    <r>
      <rPr>
        <b/>
        <sz val="11"/>
        <color rgb="FFFFFFFF"/>
        <rFont val="Arial"/>
        <charset val="1"/>
      </rPr>
      <t xml:space="preserve">3. </t>
    </r>
    <r>
      <rPr>
        <b/>
        <sz val="11"/>
        <color rgb="FFFFFFFF"/>
        <rFont val="Noto Sans CJK SC"/>
        <family val="2"/>
      </rPr>
      <t>できたらやりたいこと（</t>
    </r>
    <r>
      <rPr>
        <b/>
        <sz val="11"/>
        <color rgb="FFFFFFFF"/>
        <rFont val="Arial"/>
        <charset val="1"/>
      </rPr>
      <t>3</t>
    </r>
    <r>
      <rPr>
        <b/>
        <sz val="11"/>
        <color rgb="FFFFFFFF"/>
        <rFont val="Noto Sans CJK SC"/>
        <family val="2"/>
      </rPr>
      <t>つまで／作らなくても減点されません）</t>
    </r>
  </si>
  <si>
    <r>
      <rPr>
        <b/>
        <sz val="10"/>
        <color rgb="FF1E2A47"/>
        <rFont val="Noto Sans CJK SC"/>
        <family val="2"/>
      </rPr>
      <t xml:space="preserve">できたらやりたいこと </t>
    </r>
    <r>
      <rPr>
        <b/>
        <sz val="10"/>
        <color rgb="FF1E2A47"/>
        <rFont val="Arial"/>
        <charset val="1"/>
      </rPr>
      <t>1</t>
    </r>
  </si>
  <si>
    <t>マップで移動ルートとかを表示できる</t>
  </si>
  <si>
    <r>
      <rPr>
        <b/>
        <sz val="10"/>
        <color rgb="FF1E2A47"/>
        <rFont val="Noto Sans CJK SC"/>
        <family val="2"/>
      </rPr>
      <t xml:space="preserve">できたらやりたいこと </t>
    </r>
    <r>
      <rPr>
        <b/>
        <sz val="10"/>
        <color rgb="FF1E2A47"/>
        <rFont val="Arial"/>
        <charset val="1"/>
      </rPr>
      <t>2</t>
    </r>
  </si>
  <si>
    <t>AI入れてみたい</t>
  </si>
  <si>
    <r>
      <rPr>
        <b/>
        <sz val="10"/>
        <color rgb="FF1E2A47"/>
        <rFont val="Noto Sans CJK SC"/>
        <family val="2"/>
      </rPr>
      <t xml:space="preserve">できたらやりたいこと </t>
    </r>
    <r>
      <rPr>
        <b/>
        <sz val="10"/>
        <color rgb="FF1E2A47"/>
        <rFont val="Arial"/>
        <charset val="1"/>
      </rPr>
      <t>3</t>
    </r>
  </si>
  <si>
    <r>
      <rPr>
        <b/>
        <sz val="11"/>
        <color rgb="FFFFFFFF"/>
        <rFont val="Arial"/>
        <charset val="1"/>
      </rPr>
      <t xml:space="preserve">4. </t>
    </r>
    <r>
      <rPr>
        <b/>
        <sz val="11"/>
        <color rgb="FFFFFFFF"/>
        <rFont val="Noto Sans CJK SC"/>
        <family val="2"/>
      </rPr>
      <t>記入チェック（自動計算）</t>
    </r>
  </si>
  <si>
    <t>必須項目</t>
  </si>
  <si>
    <t>記入状況</t>
  </si>
  <si>
    <t>① 誰が困っているか</t>
  </si>
  <si>
    <t>② いつ・どんな場面で</t>
  </si>
  <si>
    <t>③ 今どうしているか</t>
  </si>
  <si>
    <r>
      <rPr>
        <sz val="10"/>
        <color rgb="FF1E2A47"/>
        <rFont val="Noto Sans CJK SC"/>
        <family val="2"/>
      </rPr>
      <t>④ これだけは動く</t>
    </r>
    <r>
      <rPr>
        <sz val="10"/>
        <color rgb="FF1E2A47"/>
        <rFont val="Arial"/>
        <charset val="1"/>
      </rPr>
      <t>1</t>
    </r>
    <r>
      <rPr>
        <sz val="10"/>
        <color rgb="FF1E2A47"/>
        <rFont val="Noto Sans CJK SC"/>
        <family val="2"/>
      </rPr>
      <t>機能</t>
    </r>
  </si>
  <si>
    <t>⑤ 独自性</t>
  </si>
  <si>
    <r>
      <rPr>
        <sz val="10"/>
        <color rgb="FF1E2A47"/>
        <rFont val="Noto Sans CJK SC"/>
        <family val="2"/>
      </rPr>
      <t>テーブル設計（</t>
    </r>
    <r>
      <rPr>
        <sz val="10"/>
        <color rgb="FF1E2A47"/>
        <rFont val="Arial"/>
        <charset val="1"/>
      </rPr>
      <t>1</t>
    </r>
    <r>
      <rPr>
        <sz val="10"/>
        <color rgb="FF1E2A47"/>
        <rFont val="Noto Sans CJK SC"/>
        <family val="2"/>
      </rPr>
      <t>件以上）</t>
    </r>
  </si>
  <si>
    <t>記入率</t>
  </si>
  <si>
    <r>
      <rPr>
        <sz val="9"/>
        <color rgb="FF5A6577"/>
        <rFont val="Arial"/>
        <charset val="1"/>
      </rPr>
      <t>※ 100%</t>
    </r>
    <r>
      <rPr>
        <sz val="9"/>
        <color rgb="FF5A6577"/>
        <rFont val="Noto Sans CJK SC"/>
        <family val="2"/>
      </rPr>
      <t>でなくても提出してください。空欄は「次回に相談したいところ」として扱います。</t>
    </r>
  </si>
  <si>
    <t>貯まるデータ＝テーブル設計</t>
  </si>
  <si>
    <r>
      <rPr>
        <sz val="9"/>
        <color rgb="FF5A6577"/>
        <rFont val="Arial"/>
        <charset val="1"/>
      </rPr>
      <t>5</t>
    </r>
    <r>
      <rPr>
        <sz val="9"/>
        <color rgb="FF5A6577"/>
        <rFont val="Noto Sans CJK SC"/>
        <family val="2"/>
      </rPr>
      <t xml:space="preserve">ステップ：① 名詞を抜き出す → ② 実体（テーブル）か属性（列）か → ③ 主キーを決める → ④ </t>
    </r>
    <r>
      <rPr>
        <sz val="9"/>
        <color rgb="FF5A6577"/>
        <rFont val="Arial"/>
        <charset val="1"/>
      </rPr>
      <t>1</t>
    </r>
    <r>
      <rPr>
        <sz val="9"/>
        <color rgb="FF5A6577"/>
        <rFont val="Noto Sans CJK SC"/>
        <family val="2"/>
      </rPr>
      <t>対多を見つける → ⑤ データ型を当てる</t>
    </r>
  </si>
  <si>
    <r>
      <rPr>
        <b/>
        <sz val="9"/>
        <color rgb="FF8A5A15"/>
        <rFont val="Noto Sans CJK SC"/>
        <family val="2"/>
      </rPr>
      <t>★ ここだけは</t>
    </r>
    <r>
      <rPr>
        <b/>
        <sz val="9"/>
        <color rgb="FF8A5A15"/>
        <rFont val="Arial"/>
        <charset val="1"/>
      </rPr>
      <t>AI</t>
    </r>
    <r>
      <rPr>
        <b/>
        <sz val="9"/>
        <color rgb="FF8A5A15"/>
        <rFont val="Noto Sans CJK SC"/>
        <family val="2"/>
      </rPr>
      <t>に丸投げしないでください。</t>
    </r>
    <r>
      <rPr>
        <b/>
        <sz val="9"/>
        <color rgb="FF8A5A15"/>
        <rFont val="Arial"/>
        <charset val="1"/>
      </rPr>
      <t>AI</t>
    </r>
    <r>
      <rPr>
        <b/>
        <sz val="9"/>
        <color rgb="FF8A5A15"/>
        <rFont val="Noto Sans CJK SC"/>
        <family val="2"/>
      </rPr>
      <t>に案を出させるのは</t>
    </r>
    <r>
      <rPr>
        <b/>
        <sz val="9"/>
        <color rgb="FF8A5A15"/>
        <rFont val="Arial"/>
        <charset val="1"/>
      </rPr>
      <t>OK</t>
    </r>
    <r>
      <rPr>
        <b/>
        <sz val="9"/>
        <color rgb="FF8A5A15"/>
        <rFont val="Noto Sans CJK SC"/>
        <family val="2"/>
      </rPr>
      <t>ですが、決めるのはあなたです。</t>
    </r>
  </si>
  <si>
    <r>
      <rPr>
        <b/>
        <sz val="11"/>
        <color rgb="FFFFFFFF"/>
        <rFont val="Arial"/>
        <charset val="1"/>
      </rPr>
      <t xml:space="preserve">1. </t>
    </r>
    <r>
      <rPr>
        <b/>
        <sz val="11"/>
        <color rgb="FFFFFFFF"/>
        <rFont val="Noto Sans CJK SC"/>
        <family val="2"/>
      </rPr>
      <t>テーブルと列（</t>
    </r>
    <r>
      <rPr>
        <b/>
        <sz val="11"/>
        <color rgb="FFFFFFFF"/>
        <rFont val="Arial"/>
        <charset val="1"/>
      </rPr>
      <t>3</t>
    </r>
    <r>
      <rPr>
        <b/>
        <sz val="11"/>
        <color rgb="FFFFFFFF"/>
        <rFont val="Noto Sans CJK SC"/>
        <family val="2"/>
      </rPr>
      <t>〜</t>
    </r>
    <r>
      <rPr>
        <b/>
        <sz val="11"/>
        <color rgb="FFFFFFFF"/>
        <rFont val="Arial"/>
        <charset val="1"/>
      </rPr>
      <t>5</t>
    </r>
    <r>
      <rPr>
        <b/>
        <sz val="11"/>
        <color rgb="FFFFFFFF"/>
        <rFont val="Noto Sans CJK SC"/>
        <family val="2"/>
      </rPr>
      <t>テーブル／各</t>
    </r>
    <r>
      <rPr>
        <b/>
        <sz val="11"/>
        <color rgb="FFFFFFFF"/>
        <rFont val="Arial"/>
        <charset val="1"/>
      </rPr>
      <t>3</t>
    </r>
    <r>
      <rPr>
        <b/>
        <sz val="11"/>
        <color rgb="FFFFFFFF"/>
        <rFont val="Noto Sans CJK SC"/>
        <family val="2"/>
      </rPr>
      <t>列以上。今日は</t>
    </r>
    <r>
      <rPr>
        <b/>
        <sz val="11"/>
        <color rgb="FFFFFFFF"/>
        <rFont val="Arial"/>
        <charset val="1"/>
      </rPr>
      <t>1</t>
    </r>
    <r>
      <rPr>
        <b/>
        <sz val="11"/>
        <color rgb="FFFFFFFF"/>
        <rFont val="Noto Sans CJK SC"/>
        <family val="2"/>
      </rPr>
      <t>テーブルできれば合格）</t>
    </r>
  </si>
  <si>
    <t>#</t>
  </si>
  <si>
    <t>テーブル名</t>
  </si>
  <si>
    <t>列名</t>
  </si>
  <si>
    <t>キー種別</t>
  </si>
  <si>
    <t>データ型</t>
  </si>
  <si>
    <t>NOT NULL</t>
  </si>
  <si>
    <t>この列は何を表すか</t>
  </si>
  <si>
    <t>例</t>
  </si>
  <si>
    <t>Reservation</t>
  </si>
  <si>
    <t>ReservationId</t>
  </si>
  <si>
    <r>
      <rPr>
        <i/>
        <sz val="9"/>
        <color rgb="FF8A96A8"/>
        <rFont val="Noto Sans CJK SC"/>
        <family val="2"/>
      </rPr>
      <t>主キー</t>
    </r>
    <r>
      <rPr>
        <i/>
        <sz val="9"/>
        <color rgb="FF8A96A8"/>
        <rFont val="Arial"/>
        <charset val="1"/>
      </rPr>
      <t>(PK)</t>
    </r>
  </si>
  <si>
    <t>INT</t>
  </si>
  <si>
    <r>
      <rPr>
        <i/>
        <sz val="9"/>
        <color rgb="FF8A96A8"/>
        <rFont val="Arial"/>
        <charset val="1"/>
      </rPr>
      <t>1</t>
    </r>
    <r>
      <rPr>
        <i/>
        <sz val="9"/>
        <color rgb="FF8A96A8"/>
        <rFont val="Noto Sans CJK SC"/>
        <family val="2"/>
      </rPr>
      <t>件の予約を一意に表す番号</t>
    </r>
  </si>
  <si>
    <t>trips</t>
  </si>
  <si>
    <t>trip_id</t>
  </si>
  <si>
    <t>主キー(PK)</t>
  </si>
  <si>
    <t>旅行を識別するID</t>
  </si>
  <si>
    <t>trip_name</t>
  </si>
  <si>
    <t>NVARCHAR(100)</t>
  </si>
  <si>
    <t>旅行の名前</t>
  </si>
  <si>
    <t>destination</t>
  </si>
  <si>
    <t>NULL可</t>
  </si>
  <si>
    <t>旅行先</t>
  </si>
  <si>
    <t>start_date</t>
  </si>
  <si>
    <t>DATE</t>
  </si>
  <si>
    <t>旅行開始日</t>
  </si>
  <si>
    <t>end_date</t>
  </si>
  <si>
    <t>旅行終了日</t>
  </si>
  <si>
    <t>budget</t>
  </si>
  <si>
    <t>旅行の予算</t>
  </si>
  <si>
    <t>users</t>
  </si>
  <si>
    <t>user_id</t>
  </si>
  <si>
    <t>利用者を識別する番号</t>
  </si>
  <si>
    <t>user_name</t>
  </si>
  <si>
    <t>NVARCHAR(50)</t>
  </si>
  <si>
    <t>利用者の名前</t>
  </si>
  <si>
    <t>email</t>
  </si>
  <si>
    <t>利用者のメールアドレス</t>
  </si>
  <si>
    <t>itinerary_items</t>
  </si>
  <si>
    <t>item_id</t>
  </si>
  <si>
    <t>旅行予定を識別する番号</t>
  </si>
  <si>
    <t>teip_id</t>
  </si>
  <si>
    <t>外部キー(FK)</t>
  </si>
  <si>
    <t>どの旅行の予定か</t>
  </si>
  <si>
    <t>item_mame</t>
  </si>
  <si>
    <t>　</t>
  </si>
  <si>
    <t>観光地や予定の名前</t>
  </si>
  <si>
    <t>visit_datetime</t>
  </si>
  <si>
    <t>DATETIME2</t>
  </si>
  <si>
    <t>訪問予定の日時</t>
  </si>
  <si>
    <t>memo</t>
  </si>
  <si>
    <t>予定の補足情報</t>
  </si>
  <si>
    <t>trip_mombers</t>
  </si>
  <si>
    <t>PK+FK</t>
  </si>
  <si>
    <t>参加する旅行のID</t>
  </si>
  <si>
    <t>参加する利用者のID</t>
  </si>
  <si>
    <t>joined_id</t>
  </si>
  <si>
    <t>参加登録日時</t>
  </si>
  <si>
    <r>
      <rPr>
        <b/>
        <sz val="11"/>
        <color rgb="FFFFFFFF"/>
        <rFont val="Arial"/>
        <charset val="1"/>
      </rPr>
      <t xml:space="preserve">2. </t>
    </r>
    <r>
      <rPr>
        <b/>
        <sz val="11"/>
        <color rgb="FFFFFFFF"/>
        <rFont val="Noto Sans CJK SC"/>
        <family val="2"/>
      </rPr>
      <t>集計（自動計算）</t>
    </r>
  </si>
  <si>
    <t>テーブル数（ユニーク）</t>
  </si>
  <si>
    <r>
      <rPr>
        <sz val="9"/>
        <color rgb="FF5A6577"/>
        <rFont val="Noto Sans CJK SC"/>
        <family val="2"/>
      </rPr>
      <t xml:space="preserve">目安 </t>
    </r>
    <r>
      <rPr>
        <sz val="9"/>
        <color rgb="FF5A6577"/>
        <rFont val="Arial"/>
        <charset val="1"/>
      </rPr>
      <t>3</t>
    </r>
    <r>
      <rPr>
        <sz val="9"/>
        <color rgb="FF5A6577"/>
        <rFont val="Noto Sans CJK SC"/>
        <family val="2"/>
      </rPr>
      <t>〜</t>
    </r>
    <r>
      <rPr>
        <sz val="9"/>
        <color rgb="FF5A6577"/>
        <rFont val="Arial"/>
        <charset val="1"/>
      </rPr>
      <t>5</t>
    </r>
  </si>
  <si>
    <t>列の総数</t>
  </si>
  <si>
    <r>
      <rPr>
        <sz val="9"/>
        <color rgb="FF5A6577"/>
        <rFont val="Arial"/>
        <charset val="1"/>
      </rPr>
      <t>1</t>
    </r>
    <r>
      <rPr>
        <sz val="9"/>
        <color rgb="FF5A6577"/>
        <rFont val="Noto Sans CJK SC"/>
        <family val="2"/>
      </rPr>
      <t>テーブルあたり</t>
    </r>
    <r>
      <rPr>
        <sz val="9"/>
        <color rgb="FF5A6577"/>
        <rFont val="Arial"/>
        <charset val="1"/>
      </rPr>
      <t>3</t>
    </r>
    <r>
      <rPr>
        <sz val="9"/>
        <color rgb="FF5A6577"/>
        <rFont val="Noto Sans CJK SC"/>
        <family val="2"/>
      </rPr>
      <t>列以上</t>
    </r>
  </si>
  <si>
    <t>主キーの数</t>
  </si>
  <si>
    <t>テーブル数と一致するはず</t>
  </si>
  <si>
    <t>外部キーの数</t>
  </si>
  <si>
    <t>必ず「多」の側に置く</t>
  </si>
  <si>
    <r>
      <rPr>
        <b/>
        <sz val="10"/>
        <color rgb="FF1E2A47"/>
        <rFont val="Noto Sans CJK SC"/>
        <family val="2"/>
      </rPr>
      <t>日本語が入る列（</t>
    </r>
    <r>
      <rPr>
        <b/>
        <sz val="10"/>
        <color rgb="FF1E2A47"/>
        <rFont val="Arial"/>
        <charset val="1"/>
      </rPr>
      <t>NVARCHAR</t>
    </r>
    <r>
      <rPr>
        <b/>
        <sz val="10"/>
        <color rgb="FF1E2A47"/>
        <rFont val="Noto Sans CJK SC"/>
        <family val="2"/>
      </rPr>
      <t>）</t>
    </r>
  </si>
  <si>
    <r>
      <rPr>
        <sz val="9"/>
        <color rgb="FF5A6577"/>
        <rFont val="Noto Sans CJK SC"/>
        <family val="2"/>
      </rPr>
      <t>日本語列は必ず</t>
    </r>
    <r>
      <rPr>
        <sz val="9"/>
        <color rgb="FF5A6577"/>
        <rFont val="Arial"/>
        <charset val="1"/>
      </rPr>
      <t>NVARCHAR</t>
    </r>
  </si>
  <si>
    <r>
      <rPr>
        <b/>
        <sz val="11"/>
        <color rgb="FFFFFFFF"/>
        <rFont val="Arial"/>
        <charset val="1"/>
      </rPr>
      <t>3. 1</t>
    </r>
    <r>
      <rPr>
        <b/>
        <sz val="11"/>
        <color rgb="FFFFFFFF"/>
        <rFont val="Noto Sans CJK SC"/>
        <family val="2"/>
      </rPr>
      <t>対多と外部キーの置き場所（外部キーは必ず「多」の側＝子テーブルに置く）</t>
    </r>
  </si>
  <si>
    <r>
      <rPr>
        <b/>
        <sz val="10"/>
        <color rgb="FFFFFFFF"/>
        <rFont val="Noto Sans CJK SC"/>
        <family val="2"/>
      </rPr>
      <t>関係（</t>
    </r>
    <r>
      <rPr>
        <b/>
        <sz val="10"/>
        <color rgb="FFFFFFFF"/>
        <rFont val="Arial"/>
        <charset val="1"/>
      </rPr>
      <t>1</t>
    </r>
    <r>
      <rPr>
        <b/>
        <sz val="10"/>
        <color rgb="FFFFFFFF"/>
        <rFont val="Noto Sans CJK SC"/>
        <family val="2"/>
      </rPr>
      <t>対多）</t>
    </r>
  </si>
  <si>
    <t>「多」はどちら？</t>
  </si>
  <si>
    <t>外部キーを置くテーブル</t>
  </si>
  <si>
    <t>声に出して成立したか</t>
  </si>
  <si>
    <t>利用者 － 予約</t>
  </si>
  <si>
    <t>予約</t>
  </si>
  <si>
    <t>予約（子）</t>
  </si>
  <si>
    <t>UserId</t>
  </si>
  <si>
    <r>
      <rPr>
        <i/>
        <sz val="9"/>
        <color rgb="FF8A96A8"/>
        <rFont val="Arial"/>
        <charset val="1"/>
      </rPr>
      <t>1</t>
    </r>
    <r>
      <rPr>
        <i/>
        <sz val="9"/>
        <color rgb="FF8A96A8"/>
        <rFont val="Noto Sans CJK SC"/>
        <family val="2"/>
      </rPr>
      <t>人の利用者は複数の予約をする</t>
    </r>
  </si>
  <si>
    <t>NVARCHAR(200)</t>
  </si>
  <si>
    <t>BIT</t>
  </si>
  <si>
    <t>DECIMAL(10,2)</t>
  </si>
  <si>
    <r>
      <rPr>
        <b/>
        <sz val="15"/>
        <color rgb="FF1E2A47"/>
        <rFont val="Arial"/>
        <charset val="1"/>
      </rPr>
      <t>AI</t>
    </r>
    <r>
      <rPr>
        <b/>
        <sz val="15"/>
        <color rgb="FF1E2A47"/>
        <rFont val="Noto Sans CJK SC"/>
        <family val="2"/>
      </rPr>
      <t>に任せる範囲を、先に決めておく</t>
    </r>
  </si>
  <si>
    <r>
      <rPr>
        <sz val="9"/>
        <color rgb="FF5A6577"/>
        <rFont val="Noto Sans CJK SC"/>
        <family val="2"/>
      </rPr>
      <t>第</t>
    </r>
    <r>
      <rPr>
        <sz val="9"/>
        <color rgb="FF5A6577"/>
        <rFont val="Arial"/>
        <charset val="1"/>
      </rPr>
      <t>25</t>
    </r>
    <r>
      <rPr>
        <sz val="9"/>
        <color rgb="FF5A6577"/>
        <rFont val="Noto Sans CJK SC"/>
        <family val="2"/>
      </rPr>
      <t>回の口頭試問で、この表がそのまま質問リストになります。今日の時点の予定で構いません。</t>
    </r>
  </si>
  <si>
    <t>工程ごとの方針</t>
  </si>
  <si>
    <t>工程</t>
  </si>
  <si>
    <r>
      <rPr>
        <b/>
        <sz val="10"/>
        <color rgb="FFFFFFFF"/>
        <rFont val="Arial"/>
        <charset val="1"/>
      </rPr>
      <t>AI</t>
    </r>
    <r>
      <rPr>
        <b/>
        <sz val="10"/>
        <color rgb="FFFFFFFF"/>
        <rFont val="Noto Sans CJK SC"/>
        <family val="2"/>
      </rPr>
      <t>に任せる？</t>
    </r>
  </si>
  <si>
    <t>自分で決めることのメモ</t>
  </si>
  <si>
    <r>
      <rPr>
        <b/>
        <sz val="10"/>
        <color rgb="FFFFFFFF"/>
        <rFont val="Noto Sans CJK SC"/>
        <family val="2"/>
      </rPr>
      <t>この工程で</t>
    </r>
    <r>
      <rPr>
        <b/>
        <sz val="10"/>
        <color rgb="FFFFFFFF"/>
        <rFont val="Arial"/>
        <charset val="1"/>
      </rPr>
      <t>AI</t>
    </r>
    <r>
      <rPr>
        <b/>
        <sz val="10"/>
        <color rgb="FFFFFFFF"/>
        <rFont val="Noto Sans CJK SC"/>
        <family val="2"/>
      </rPr>
      <t>に出させたい成果物</t>
    </r>
  </si>
  <si>
    <t>何を作るか（企画）</t>
  </si>
  <si>
    <t>任せない（自分で全部）</t>
  </si>
  <si>
    <t>旅行の計画を立てる。</t>
  </si>
  <si>
    <t>テーブル構成・キー・型</t>
  </si>
  <si>
    <t>案は出させる／決定は自分</t>
  </si>
  <si>
    <t>画面のレイアウト</t>
  </si>
  <si>
    <t>相談しながら</t>
  </si>
  <si>
    <r>
      <rPr>
        <b/>
        <sz val="10"/>
        <color rgb="FF1E2A47"/>
        <rFont val="Arial"/>
        <charset val="1"/>
      </rPr>
      <t>CRUD</t>
    </r>
    <r>
      <rPr>
        <b/>
        <sz val="10"/>
        <color rgb="FF1E2A47"/>
        <rFont val="Noto Sans CJK SC"/>
        <family val="2"/>
      </rPr>
      <t>のコード</t>
    </r>
  </si>
  <si>
    <t>エラーの修正</t>
  </si>
  <si>
    <t>デプロイ設定</t>
  </si>
  <si>
    <r>
      <rPr>
        <sz val="9"/>
        <color rgb="FF5A6577"/>
        <rFont val="Noto Sans CJK SC"/>
        <family val="2"/>
      </rPr>
      <t>※ 緑のセルは固定です（授業のルール）。「何を作るか」と「</t>
    </r>
    <r>
      <rPr>
        <sz val="9"/>
        <color rgb="FF5A6577"/>
        <rFont val="Arial"/>
        <charset val="1"/>
      </rPr>
      <t>DB</t>
    </r>
    <r>
      <rPr>
        <sz val="9"/>
        <color rgb="FF5A6577"/>
        <rFont val="Noto Sans CJK SC"/>
        <family val="2"/>
      </rPr>
      <t>設計の決定」は、必ず自分で行ってください。</t>
    </r>
  </si>
  <si>
    <r>
      <rPr>
        <b/>
        <sz val="11"/>
        <color rgb="FFFFFFFF"/>
        <rFont val="Arial"/>
        <charset val="1"/>
      </rPr>
      <t>README</t>
    </r>
    <r>
      <rPr>
        <b/>
        <sz val="11"/>
        <color rgb="FFFFFFFF"/>
        <rFont val="Noto Sans CJK SC"/>
        <family val="2"/>
      </rPr>
      <t>に書く</t>
    </r>
    <r>
      <rPr>
        <b/>
        <sz val="11"/>
        <color rgb="FFFFFFFF"/>
        <rFont val="Arial"/>
        <charset val="1"/>
      </rPr>
      <t>3</t>
    </r>
    <r>
      <rPr>
        <b/>
        <sz val="11"/>
        <color rgb="FFFFFFFF"/>
        <rFont val="Noto Sans CJK SC"/>
        <family val="2"/>
      </rPr>
      <t>区分（第</t>
    </r>
    <r>
      <rPr>
        <b/>
        <sz val="11"/>
        <color rgb="FFFFFFFF"/>
        <rFont val="Arial"/>
        <charset val="1"/>
      </rPr>
      <t>24</t>
    </r>
    <r>
      <rPr>
        <b/>
        <sz val="11"/>
        <color rgb="FFFFFFFF"/>
        <rFont val="Noto Sans CJK SC"/>
        <family val="2"/>
      </rPr>
      <t>回で仕上げます。今日は考え方だけ）</t>
    </r>
  </si>
  <si>
    <t>① 自分が書いた</t>
  </si>
  <si>
    <t>自分で考えて、自分でタイプした部分。行数は少なくてよい。</t>
  </si>
  <si>
    <r>
      <rPr>
        <b/>
        <sz val="10"/>
        <color rgb="FF1E2A47"/>
        <rFont val="Arial"/>
        <charset val="1"/>
      </rPr>
      <t>② AI</t>
    </r>
    <r>
      <rPr>
        <b/>
        <sz val="10"/>
        <color rgb="FF1E2A47"/>
        <rFont val="Noto Sans CJK SC"/>
        <family val="2"/>
      </rPr>
      <t>が書いた</t>
    </r>
  </si>
  <si>
    <r>
      <rPr>
        <sz val="10"/>
        <color rgb="FF1E2A47"/>
        <rFont val="Arial"/>
        <charset val="1"/>
      </rPr>
      <t>AI</t>
    </r>
    <r>
      <rPr>
        <sz val="10"/>
        <color rgb="FF1E2A47"/>
        <rFont val="Noto Sans CJK SC"/>
        <family val="2"/>
      </rPr>
      <t>の出力をそのまま採用した部分。採用した理由が言えること。</t>
    </r>
  </si>
  <si>
    <r>
      <rPr>
        <b/>
        <sz val="10"/>
        <color rgb="FF1E2A47"/>
        <rFont val="Arial"/>
        <charset val="1"/>
      </rPr>
      <t>③ AI</t>
    </r>
    <r>
      <rPr>
        <b/>
        <sz val="10"/>
        <color rgb="FF1E2A47"/>
        <rFont val="Noto Sans CJK SC"/>
        <family val="2"/>
      </rPr>
      <t>が書いたものを自分が直した</t>
    </r>
  </si>
  <si>
    <t>ここが一番評価されます。どこをなぜ直したかをメモしておくこと。</t>
  </si>
  <si>
    <t>プロンプトの記録（任意・書けば書くほど有利）</t>
  </si>
  <si>
    <t>どう指示したら意図どおりになったか。それ自体がポートフォリオの価値になります。</t>
  </si>
  <si>
    <t>うまくいった指示の書き方</t>
  </si>
  <si>
    <t>うまくいかなかった指示と、その理由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</si>
</sst>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charset val="1"/>
    </font>
    <font>
      <b/>
      <sz val="16"/>
      <color rgb="FF1E2A47"/>
      <name val="Noto Sans CJK SC"/>
      <family val="2"/>
    </font>
    <font>
      <b/>
      <sz val="16"/>
      <color rgb="FF1E2A47"/>
      <name val="Arial"/>
      <charset val="1"/>
    </font>
    <font>
      <sz val="10"/>
      <color rgb="FF5A6577"/>
      <name val="Noto Sans CJK SC"/>
      <family val="2"/>
    </font>
    <font>
      <sz val="10"/>
      <color rgb="FF5A6577"/>
      <name val="Arial"/>
      <charset val="1"/>
    </font>
    <font>
      <b/>
      <sz val="11"/>
      <color rgb="FFFFFFFF"/>
      <name val="Noto Sans CJK SC"/>
      <family val="2"/>
    </font>
    <font>
      <b/>
      <sz val="10"/>
      <color rgb="FF1E2A47"/>
      <name val="Noto Sans CJK SC"/>
      <family val="2"/>
    </font>
    <font>
      <b/>
      <sz val="10"/>
      <color rgb="FF1E2A47"/>
      <name val="Arial"/>
      <charset val="1"/>
    </font>
    <font>
      <sz val="10"/>
      <color rgb="FF1E2A47"/>
      <name val="Noto Sans CJK SC"/>
      <family val="2"/>
    </font>
    <font>
      <sz val="10"/>
      <color rgb="FF1E2A47"/>
      <name val="Arial"/>
      <charset val="1"/>
    </font>
    <font>
      <b/>
      <sz val="11"/>
      <color rgb="FFFFFFFF"/>
      <name val="Arial"/>
      <charset val="1"/>
    </font>
    <font>
      <sz val="9"/>
      <color rgb="FF5A6577"/>
      <name val="Noto Sans CJK SC"/>
      <family val="2"/>
    </font>
    <font>
      <sz val="9"/>
      <color rgb="FF5A6577"/>
      <name val="Arial"/>
      <charset val="1"/>
    </font>
    <font>
      <b/>
      <sz val="15"/>
      <color rgb="FF1E2A47"/>
      <name val="Noto Sans CJK SC"/>
      <family val="2"/>
    </font>
    <font>
      <sz val="10"/>
      <color rgb="FF0000FF"/>
      <name val="Arial"/>
      <charset val="1"/>
    </font>
    <font>
      <b/>
      <sz val="9.5"/>
      <color rgb="FF1E2A47"/>
      <name val="Noto Sans CJK SC"/>
      <family val="2"/>
    </font>
    <font>
      <b/>
      <sz val="9.5"/>
      <color rgb="FF1E2A47"/>
      <name val="Arial"/>
      <charset val="1"/>
    </font>
    <font>
      <sz val="8.5"/>
      <color rgb="FF5A6577"/>
      <name val="Noto Sans CJK SC"/>
      <family val="2"/>
    </font>
    <font>
      <sz val="8.5"/>
      <color rgb="FF5A6577"/>
      <name val="Arial"/>
      <charset val="1"/>
    </font>
    <font>
      <b/>
      <sz val="11"/>
      <color rgb="FF1E2A47"/>
      <name val="Arial"/>
      <charset val="1"/>
    </font>
    <font>
      <b/>
      <sz val="9"/>
      <color rgb="FF8A5A15"/>
      <name val="Noto Sans CJK SC"/>
      <family val="2"/>
    </font>
    <font>
      <b/>
      <sz val="9"/>
      <color rgb="FF8A5A15"/>
      <name val="Arial"/>
      <charset val="1"/>
    </font>
    <font>
      <b/>
      <sz val="10"/>
      <color rgb="FFFFFFFF"/>
      <name val="Arial"/>
      <charset val="1"/>
    </font>
    <font>
      <b/>
      <sz val="10"/>
      <color rgb="FFFFFFFF"/>
      <name val="Noto Sans CJK SC"/>
      <family val="2"/>
    </font>
    <font>
      <i/>
      <sz val="9"/>
      <color rgb="FF8A96A8"/>
      <name val="Noto Sans CJK SC"/>
      <family val="2"/>
    </font>
    <font>
      <i/>
      <sz val="9"/>
      <color rgb="FF8A96A8"/>
      <name val="Arial"/>
      <charset val="1"/>
    </font>
    <font>
      <sz val="9"/>
      <color rgb="FFFFFFFF"/>
      <name val="Arial"/>
      <charset val="1"/>
    </font>
    <font>
      <b/>
      <sz val="15"/>
      <color rgb="FF1E2A47"/>
      <name val="Arial"/>
      <charset val="1"/>
    </font>
    <font>
      <b/>
      <sz val="9.5"/>
      <color rgb="FF1D6B45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E2A47"/>
        <bgColor rgb="FF003366"/>
      </patternFill>
    </fill>
    <fill>
      <patternFill patternType="solid">
        <fgColor rgb="FFEDF3FA"/>
        <bgColor rgb="FFE7F5EE"/>
      </patternFill>
    </fill>
    <fill>
      <patternFill patternType="solid">
        <fgColor rgb="FFFDF6EA"/>
        <bgColor rgb="FFFFFFFF"/>
      </patternFill>
    </fill>
    <fill>
      <patternFill patternType="solid">
        <fgColor rgb="FFFFFFCC"/>
        <bgColor rgb="FFFDF6EA"/>
      </patternFill>
    </fill>
    <fill>
      <patternFill patternType="solid">
        <fgColor rgb="FF0078D4"/>
        <bgColor rgb="FF008080"/>
      </patternFill>
    </fill>
    <fill>
      <patternFill patternType="solid">
        <fgColor rgb="FFFFFFFF"/>
        <bgColor rgb="FFFDF6EA"/>
      </patternFill>
    </fill>
    <fill>
      <patternFill patternType="solid">
        <fgColor rgb="FFE7F5EE"/>
        <bgColor rgb="FFEDF3FA"/>
      </patternFill>
    </fill>
  </fills>
  <borders count="2">
    <border>
      <left/>
      <right/>
      <top/>
      <bottom/>
      <diagonal/>
    </border>
    <border>
      <left style="thin">
        <color rgb="FFB9C6DA"/>
      </left>
      <right style="thin">
        <color rgb="FFB9C6DA"/>
      </right>
      <top style="thin">
        <color rgb="FFB9C6DA"/>
      </top>
      <bottom style="thin">
        <color rgb="FFB9C6D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9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14" fillId="5" borderId="1" xfId="0" applyFont="1" applyFill="1" applyBorder="1" applyAlignment="1">
      <alignment horizontal="left" vertical="center" wrapText="1" indent="1"/>
    </xf>
    <xf numFmtId="0" fontId="1" fillId="0" borderId="0" xfId="0" applyFont="1"/>
    <xf numFmtId="0" fontId="3" fillId="0" borderId="0" xfId="0" applyFont="1"/>
    <xf numFmtId="0" fontId="7" fillId="3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0" fontId="13" fillId="0" borderId="0" xfId="0" applyFont="1"/>
    <xf numFmtId="0" fontId="15" fillId="3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/>
    </xf>
    <xf numFmtId="9" fontId="19" fillId="4" borderId="1" xfId="0" applyNumberFormat="1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 indent="1"/>
    </xf>
    <xf numFmtId="0" fontId="25" fillId="0" borderId="1" xfId="0" applyFont="1" applyBorder="1" applyAlignment="1">
      <alignment vertical="center" indent="1"/>
    </xf>
    <xf numFmtId="0" fontId="4" fillId="7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left" vertical="center" indent="1"/>
    </xf>
    <xf numFmtId="0" fontId="19" fillId="0" borderId="1" xfId="0" applyFont="1" applyBorder="1" applyAlignment="1">
      <alignment horizontal="center"/>
    </xf>
    <xf numFmtId="0" fontId="14" fillId="5" borderId="1" xfId="0" applyFont="1" applyFill="1" applyBorder="1" applyAlignment="1">
      <alignment vertical="center" indent="1"/>
    </xf>
    <xf numFmtId="0" fontId="26" fillId="0" borderId="0" xfId="0" applyFont="1"/>
    <xf numFmtId="0" fontId="27" fillId="0" borderId="0" xfId="0" applyFont="1"/>
    <xf numFmtId="0" fontId="23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 indent="1"/>
    </xf>
    <xf numFmtId="0" fontId="14" fillId="5" borderId="1" xfId="0" applyFont="1" applyFill="1" applyBorder="1" applyAlignment="1">
      <alignment horizontal="left" vertical="center" wrapText="1" indent="1"/>
    </xf>
    <xf numFmtId="0" fontId="17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indent="1"/>
    </xf>
    <xf numFmtId="0" fontId="20" fillId="0" borderId="0" xfId="0" applyFont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5"/>
      <rgbColor rgb="FF800080"/>
      <rgbColor rgb="FF1D6B45"/>
      <rgbColor rgb="FFB9C6DA"/>
      <rgbColor rgb="FF808080"/>
      <rgbColor rgb="FF9999FF"/>
      <rgbColor rgb="FF993366"/>
      <rgbColor rgb="FFFFFFCC"/>
      <rgbColor rgb="FFE7F5EE"/>
      <rgbColor rgb="FF660066"/>
      <rgbColor rgb="FFFF8080"/>
      <rgbColor rgb="FF0078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A"/>
      <rgbColor rgb="FFCCFFCC"/>
      <rgbColor rgb="FFFDF6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577"/>
      <rgbColor rgb="FF8A96A8"/>
      <rgbColor rgb="FF003366"/>
      <rgbColor rgb="FF339966"/>
      <rgbColor rgb="FF003300"/>
      <rgbColor rgb="FF333300"/>
      <rgbColor rgb="FF993300"/>
      <rgbColor rgb="FF993366"/>
      <rgbColor rgb="FF333399"/>
      <rgbColor rgb="FF1E2A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8"/>
  <sheetViews>
    <sheetView showGridLines="0" topLeftCell="A3" zoomScaleNormal="100" workbookViewId="0"/>
  </sheetViews>
  <sheetFormatPr defaultColWidth="8.7109375" defaultRowHeight="15"/>
  <cols>
    <col min="1" max="1" width="3" customWidth="1"/>
    <col min="2" max="2" width="30" customWidth="1"/>
    <col min="3" max="3" width="88" customWidth="1"/>
  </cols>
  <sheetData>
    <row r="2" spans="2:3" ht="23.85">
      <c r="B2" s="5" t="s">
        <v>0</v>
      </c>
    </row>
    <row r="3" spans="2:3">
      <c r="B3" s="6" t="s">
        <v>1</v>
      </c>
    </row>
    <row r="5" spans="2:3">
      <c r="B5" s="32" t="s">
        <v>2</v>
      </c>
      <c r="C5" s="32"/>
    </row>
    <row r="6" spans="2:3" ht="21.75" customHeight="1">
      <c r="B6" s="3" t="s">
        <v>3</v>
      </c>
      <c r="C6" s="2" t="s">
        <v>4</v>
      </c>
    </row>
    <row r="7" spans="2:3" ht="21.75" customHeight="1">
      <c r="B7" s="3" t="s">
        <v>5</v>
      </c>
      <c r="C7" s="2" t="s">
        <v>6</v>
      </c>
    </row>
    <row r="8" spans="2:3" ht="27.75" customHeight="1">
      <c r="B8" s="3" t="s">
        <v>7</v>
      </c>
      <c r="C8" s="2" t="s">
        <v>8</v>
      </c>
    </row>
    <row r="9" spans="2:3" ht="21.75" customHeight="1">
      <c r="B9" s="3" t="s">
        <v>9</v>
      </c>
      <c r="C9" s="2" t="s">
        <v>10</v>
      </c>
    </row>
    <row r="11" spans="2:3">
      <c r="B11" s="32" t="s">
        <v>11</v>
      </c>
      <c r="C11" s="32"/>
    </row>
    <row r="12" spans="2:3" ht="21.75" customHeight="1">
      <c r="B12" s="3" t="s">
        <v>12</v>
      </c>
      <c r="C12" s="2" t="s">
        <v>13</v>
      </c>
    </row>
    <row r="13" spans="2:3" ht="21.75" customHeight="1">
      <c r="B13" s="3" t="s">
        <v>14</v>
      </c>
      <c r="C13" s="1" t="s">
        <v>15</v>
      </c>
    </row>
    <row r="14" spans="2:3" ht="21.75" customHeight="1">
      <c r="B14" s="3" t="s">
        <v>16</v>
      </c>
      <c r="C14" s="1" t="s">
        <v>17</v>
      </c>
    </row>
    <row r="15" spans="2:3" ht="21.75" customHeight="1">
      <c r="B15" s="3" t="s">
        <v>18</v>
      </c>
      <c r="C15" s="2" t="s">
        <v>19</v>
      </c>
    </row>
    <row r="17" spans="2:3">
      <c r="B17" s="32" t="s">
        <v>20</v>
      </c>
      <c r="C17" s="32"/>
    </row>
    <row r="18" spans="2:3" ht="37.5" customHeight="1">
      <c r="B18" s="7" t="s">
        <v>21</v>
      </c>
      <c r="C18" s="2" t="s">
        <v>22</v>
      </c>
    </row>
    <row r="19" spans="2:3" ht="21.75" customHeight="1">
      <c r="B19" s="7" t="s">
        <v>23</v>
      </c>
      <c r="C19" s="2" t="s">
        <v>24</v>
      </c>
    </row>
    <row r="20" spans="2:3" ht="21.75" customHeight="1">
      <c r="B20" s="7" t="s">
        <v>25</v>
      </c>
      <c r="C20" s="2" t="s">
        <v>26</v>
      </c>
    </row>
    <row r="21" spans="2:3" ht="21.75" customHeight="1">
      <c r="B21" s="3" t="s">
        <v>27</v>
      </c>
      <c r="C21" s="2" t="s">
        <v>28</v>
      </c>
    </row>
    <row r="23" spans="2:3" ht="17.100000000000001">
      <c r="B23" s="28" t="s">
        <v>29</v>
      </c>
      <c r="C23" s="28"/>
    </row>
    <row r="24" spans="2:3" ht="21.75" customHeight="1">
      <c r="B24" s="8" t="s">
        <v>30</v>
      </c>
      <c r="C24" s="2" t="s">
        <v>31</v>
      </c>
    </row>
    <row r="25" spans="2:3" ht="21.75" customHeight="1">
      <c r="B25" s="9" t="s">
        <v>32</v>
      </c>
      <c r="C25" s="1" t="s">
        <v>33</v>
      </c>
    </row>
    <row r="26" spans="2:3" ht="21.75" customHeight="1">
      <c r="B26" s="9" t="s">
        <v>34</v>
      </c>
      <c r="C26" s="2" t="s">
        <v>35</v>
      </c>
    </row>
    <row r="28" spans="2:3" ht="15" customHeight="1">
      <c r="B28" s="27" t="s">
        <v>36</v>
      </c>
      <c r="C28" s="27"/>
    </row>
  </sheetData>
  <mergeCells count="5">
    <mergeCell ref="B5:C5"/>
    <mergeCell ref="B11:C11"/>
    <mergeCell ref="B17:C17"/>
    <mergeCell ref="B23:C23"/>
    <mergeCell ref="B28:C28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F43"/>
  <sheetViews>
    <sheetView showGridLines="0" zoomScaleNormal="100" workbookViewId="0">
      <pane xSplit="1" ySplit="5" topLeftCell="B6" activePane="bottomRight" state="frozen"/>
      <selection pane="bottomRight" activeCell="C7" sqref="C7:F7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30" customWidth="1"/>
    <col min="3" max="5" width="26" customWidth="1"/>
    <col min="6" max="6" width="16" customWidth="1"/>
  </cols>
  <sheetData>
    <row r="2" spans="2:6" ht="18.600000000000001">
      <c r="B2" s="10" t="s">
        <v>37</v>
      </c>
    </row>
    <row r="3" spans="2:6" ht="15" customHeight="1">
      <c r="B3" s="27" t="s">
        <v>38</v>
      </c>
      <c r="C3" s="27"/>
      <c r="D3" s="27"/>
      <c r="E3" s="27"/>
      <c r="F3" s="27"/>
    </row>
    <row r="5" spans="2:6" ht="17.100000000000001">
      <c r="B5" s="28" t="s">
        <v>39</v>
      </c>
      <c r="C5" s="28"/>
      <c r="D5" s="28"/>
      <c r="E5" s="28"/>
      <c r="F5" s="28"/>
    </row>
    <row r="6" spans="2:6">
      <c r="B6" s="3" t="s">
        <v>40</v>
      </c>
      <c r="C6" s="29" t="s">
        <v>41</v>
      </c>
      <c r="D6" s="29"/>
      <c r="E6" s="3" t="s">
        <v>42</v>
      </c>
      <c r="F6" s="4" t="s">
        <v>43</v>
      </c>
    </row>
    <row r="7" spans="2:6">
      <c r="B7" s="3" t="s">
        <v>44</v>
      </c>
      <c r="C7" s="29" t="s">
        <v>45</v>
      </c>
      <c r="D7" s="29"/>
      <c r="E7" s="29"/>
      <c r="F7" s="29"/>
    </row>
    <row r="8" spans="2:6" ht="15" customHeight="1">
      <c r="B8" s="27" t="s">
        <v>46</v>
      </c>
      <c r="C8" s="27"/>
      <c r="D8" s="27"/>
      <c r="E8" s="27"/>
      <c r="F8" s="27"/>
    </row>
    <row r="10" spans="2:6" ht="17.100000000000001">
      <c r="B10" s="28" t="s">
        <v>47</v>
      </c>
      <c r="C10" s="28"/>
      <c r="D10" s="28"/>
      <c r="E10" s="28"/>
      <c r="F10" s="28"/>
    </row>
    <row r="11" spans="2:6" ht="39.75" customHeight="1">
      <c r="B11" s="11" t="s">
        <v>48</v>
      </c>
      <c r="C11" s="29" t="s">
        <v>49</v>
      </c>
      <c r="D11" s="29"/>
      <c r="E11" s="29"/>
      <c r="F11" s="29"/>
    </row>
    <row r="12" spans="2:6" ht="13.5" customHeight="1">
      <c r="B12" s="30" t="s">
        <v>50</v>
      </c>
      <c r="C12" s="30"/>
      <c r="D12" s="30"/>
      <c r="E12" s="30"/>
      <c r="F12" s="30"/>
    </row>
    <row r="13" spans="2:6" ht="39.75" customHeight="1">
      <c r="B13" s="11" t="s">
        <v>51</v>
      </c>
      <c r="C13" s="29" t="s">
        <v>52</v>
      </c>
      <c r="D13" s="29"/>
      <c r="E13" s="29"/>
      <c r="F13" s="29"/>
    </row>
    <row r="14" spans="2:6" ht="13.5" customHeight="1">
      <c r="B14" s="30" t="s">
        <v>53</v>
      </c>
      <c r="C14" s="30"/>
      <c r="D14" s="30"/>
      <c r="E14" s="30"/>
      <c r="F14" s="30"/>
    </row>
    <row r="15" spans="2:6" ht="33.75" customHeight="1">
      <c r="B15" s="11" t="s">
        <v>54</v>
      </c>
      <c r="C15" s="29" t="s">
        <v>55</v>
      </c>
      <c r="D15" s="29"/>
      <c r="E15" s="29"/>
      <c r="F15" s="29"/>
    </row>
    <row r="16" spans="2:6" ht="13.5" customHeight="1">
      <c r="B16" s="30" t="s">
        <v>56</v>
      </c>
      <c r="C16" s="30"/>
      <c r="D16" s="30"/>
      <c r="E16" s="30"/>
      <c r="F16" s="30"/>
    </row>
    <row r="18" spans="2:6" ht="17.100000000000001">
      <c r="B18" s="28" t="s">
        <v>57</v>
      </c>
      <c r="C18" s="28"/>
      <c r="D18" s="28"/>
      <c r="E18" s="28"/>
      <c r="F18" s="28"/>
    </row>
    <row r="19" spans="2:6" ht="39.75" customHeight="1">
      <c r="B19" s="11" t="s">
        <v>58</v>
      </c>
      <c r="C19" s="29" t="s">
        <v>59</v>
      </c>
      <c r="D19" s="29"/>
      <c r="E19" s="29"/>
      <c r="F19" s="29"/>
    </row>
    <row r="20" spans="2:6" ht="13.5" customHeight="1">
      <c r="B20" s="30" t="s">
        <v>60</v>
      </c>
      <c r="C20" s="30"/>
      <c r="D20" s="30"/>
      <c r="E20" s="30"/>
      <c r="F20" s="30"/>
    </row>
    <row r="21" spans="2:6" ht="33.75" customHeight="1">
      <c r="B21" s="11" t="s">
        <v>61</v>
      </c>
      <c r="C21" s="29" t="s">
        <v>62</v>
      </c>
      <c r="D21" s="29"/>
      <c r="E21" s="29"/>
      <c r="F21" s="29"/>
    </row>
    <row r="22" spans="2:6" ht="13.5" customHeight="1">
      <c r="B22" s="30" t="s">
        <v>63</v>
      </c>
      <c r="C22" s="30"/>
      <c r="D22" s="30"/>
      <c r="E22" s="30"/>
      <c r="F22" s="30"/>
    </row>
    <row r="23" spans="2:6" ht="39.75" customHeight="1">
      <c r="B23" s="11" t="s">
        <v>64</v>
      </c>
      <c r="C23" s="29" t="s">
        <v>65</v>
      </c>
      <c r="D23" s="29"/>
      <c r="E23" s="29"/>
      <c r="F23" s="29"/>
    </row>
    <row r="24" spans="2:6" ht="13.5" customHeight="1">
      <c r="B24" s="30" t="s">
        <v>66</v>
      </c>
      <c r="C24" s="30"/>
      <c r="D24" s="30"/>
      <c r="E24" s="30"/>
      <c r="F24" s="30"/>
    </row>
    <row r="26" spans="2:6" ht="17.100000000000001">
      <c r="B26" s="28" t="s">
        <v>67</v>
      </c>
      <c r="C26" s="28"/>
      <c r="D26" s="28"/>
      <c r="E26" s="28"/>
      <c r="F26" s="28"/>
    </row>
    <row r="27" spans="2:6" ht="19.5" customHeight="1">
      <c r="B27" s="3" t="s">
        <v>68</v>
      </c>
      <c r="C27" s="29" t="s">
        <v>69</v>
      </c>
      <c r="D27" s="29"/>
      <c r="E27" s="29"/>
      <c r="F27" s="29"/>
    </row>
    <row r="28" spans="2:6" ht="19.5" customHeight="1">
      <c r="B28" s="3" t="s">
        <v>70</v>
      </c>
      <c r="C28" s="29" t="s">
        <v>71</v>
      </c>
      <c r="D28" s="29"/>
      <c r="E28" s="29"/>
      <c r="F28" s="29"/>
    </row>
    <row r="29" spans="2:6" ht="19.5" customHeight="1">
      <c r="B29" s="3" t="s">
        <v>72</v>
      </c>
      <c r="C29" s="29"/>
      <c r="D29" s="29"/>
      <c r="E29" s="29"/>
      <c r="F29" s="29"/>
    </row>
    <row r="31" spans="2:6" ht="17.100000000000001">
      <c r="B31" s="28" t="s">
        <v>73</v>
      </c>
      <c r="C31" s="28"/>
      <c r="D31" s="28"/>
      <c r="E31" s="28"/>
      <c r="F31" s="28"/>
    </row>
    <row r="32" spans="2:6">
      <c r="B32" s="3" t="s">
        <v>74</v>
      </c>
      <c r="C32" s="3" t="s">
        <v>75</v>
      </c>
    </row>
    <row r="33" spans="2:6">
      <c r="B33" s="2" t="s">
        <v>44</v>
      </c>
      <c r="C33" s="12" t="str">
        <f>IF(COUNTA(C7)=0,"未記入","OK")</f>
        <v>OK</v>
      </c>
    </row>
    <row r="34" spans="2:6">
      <c r="B34" s="2" t="s">
        <v>76</v>
      </c>
      <c r="C34" s="12" t="str">
        <f>IF(COUNTA(C11)=0,"未記入","OK")</f>
        <v>OK</v>
      </c>
    </row>
    <row r="35" spans="2:6">
      <c r="B35" s="2" t="s">
        <v>77</v>
      </c>
      <c r="C35" s="12" t="str">
        <f>IF(COUNTA(C13)=0,"未記入","OK")</f>
        <v>OK</v>
      </c>
    </row>
    <row r="36" spans="2:6">
      <c r="B36" s="2" t="s">
        <v>78</v>
      </c>
      <c r="C36" s="12" t="str">
        <f>IF(COUNTA(C15)=0,"未記入","OK")</f>
        <v>OK</v>
      </c>
    </row>
    <row r="37" spans="2:6">
      <c r="B37" s="2" t="s">
        <v>79</v>
      </c>
      <c r="C37" s="12" t="str">
        <f>IF(COUNTA(C19)=0,"未記入","OK")</f>
        <v>OK</v>
      </c>
    </row>
    <row r="38" spans="2:6">
      <c r="B38" s="2" t="s">
        <v>80</v>
      </c>
      <c r="C38" s="12" t="str">
        <f>IF(COUNTA(C21)=0,"未記入","OK")</f>
        <v>OK</v>
      </c>
    </row>
    <row r="39" spans="2:6">
      <c r="B39" s="2" t="s">
        <v>64</v>
      </c>
      <c r="C39" s="12" t="str">
        <f>IF(COUNTA(C23)=0,"未記入","OK")</f>
        <v>OK</v>
      </c>
    </row>
    <row r="40" spans="2:6">
      <c r="B40" s="2" t="s">
        <v>81</v>
      </c>
      <c r="C40" s="12" t="str">
        <f>IF(COUNTA(テーブル設計!D9:D32)=0,"未記入","OK")</f>
        <v>OK</v>
      </c>
    </row>
    <row r="41" spans="2:6">
      <c r="B41" s="8" t="s">
        <v>82</v>
      </c>
      <c r="C41" s="13">
        <f>COUNTIF(C33:C40,"OK")/COUNTA(B33:B40)</f>
        <v>1</v>
      </c>
    </row>
    <row r="43" spans="2:6" ht="15" customHeight="1">
      <c r="B43" s="31" t="s">
        <v>83</v>
      </c>
      <c r="C43" s="31"/>
      <c r="D43" s="31"/>
      <c r="E43" s="31"/>
      <c r="F43" s="31"/>
    </row>
  </sheetData>
  <mergeCells count="25">
    <mergeCell ref="C27:F27"/>
    <mergeCell ref="C28:F28"/>
    <mergeCell ref="C29:F29"/>
    <mergeCell ref="B31:F31"/>
    <mergeCell ref="B43:F43"/>
    <mergeCell ref="C21:F21"/>
    <mergeCell ref="B22:F22"/>
    <mergeCell ref="C23:F23"/>
    <mergeCell ref="B24:F24"/>
    <mergeCell ref="B26:F26"/>
    <mergeCell ref="C15:F15"/>
    <mergeCell ref="B16:F16"/>
    <mergeCell ref="B18:F18"/>
    <mergeCell ref="C19:F19"/>
    <mergeCell ref="B20:F20"/>
    <mergeCell ref="B10:F10"/>
    <mergeCell ref="C11:F11"/>
    <mergeCell ref="B12:F12"/>
    <mergeCell ref="C13:F13"/>
    <mergeCell ref="B14:F14"/>
    <mergeCell ref="B3:F3"/>
    <mergeCell ref="B5:F5"/>
    <mergeCell ref="C6:D6"/>
    <mergeCell ref="C7:F7"/>
    <mergeCell ref="B8:F8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K67"/>
  <sheetViews>
    <sheetView showGridLines="0" zoomScaleNormal="100" workbookViewId="0">
      <pane xSplit="1" ySplit="8" topLeftCell="C13" activePane="bottomRight" state="frozen"/>
      <selection pane="bottomRight" activeCell="C26" sqref="C26"/>
      <selection pane="bottomLeft" activeCell="A9" sqref="A9"/>
      <selection pane="topRight" activeCell="B1" sqref="B1"/>
    </sheetView>
  </sheetViews>
  <sheetFormatPr defaultColWidth="8.7109375" defaultRowHeight="15"/>
  <cols>
    <col min="1" max="1" width="3" customWidth="1"/>
    <col min="2" max="2" width="5" customWidth="1"/>
    <col min="3" max="3" width="20" customWidth="1"/>
    <col min="4" max="4" width="22" customWidth="1"/>
    <col min="5" max="5" width="15" customWidth="1"/>
    <col min="6" max="6" width="18" customWidth="1"/>
    <col min="7" max="7" width="12" customWidth="1"/>
    <col min="8" max="8" width="34" customWidth="1"/>
    <col min="11" max="11" width="13" hidden="1" customWidth="1"/>
  </cols>
  <sheetData>
    <row r="2" spans="2:8" ht="18.600000000000001">
      <c r="B2" s="10" t="s">
        <v>84</v>
      </c>
    </row>
    <row r="3" spans="2:8" ht="15" customHeight="1">
      <c r="B3" s="31" t="s">
        <v>85</v>
      </c>
      <c r="C3" s="31"/>
      <c r="D3" s="31"/>
      <c r="E3" s="31"/>
      <c r="F3" s="31"/>
      <c r="G3" s="31"/>
      <c r="H3" s="31"/>
    </row>
    <row r="4" spans="2:8" ht="15" customHeight="1">
      <c r="B4" s="33" t="s">
        <v>86</v>
      </c>
      <c r="C4" s="33"/>
      <c r="D4" s="33"/>
      <c r="E4" s="33"/>
      <c r="F4" s="33"/>
      <c r="G4" s="33"/>
      <c r="H4" s="33"/>
    </row>
    <row r="6" spans="2:8" ht="17.100000000000001">
      <c r="B6" s="28" t="s">
        <v>87</v>
      </c>
      <c r="C6" s="28"/>
      <c r="D6" s="28"/>
      <c r="E6" s="28"/>
      <c r="F6" s="28"/>
      <c r="G6" s="28"/>
      <c r="H6" s="28"/>
    </row>
    <row r="7" spans="2:8">
      <c r="B7" s="14" t="s">
        <v>88</v>
      </c>
      <c r="C7" s="15" t="s">
        <v>89</v>
      </c>
      <c r="D7" s="15" t="s">
        <v>90</v>
      </c>
      <c r="E7" s="15" t="s">
        <v>91</v>
      </c>
      <c r="F7" s="15" t="s">
        <v>92</v>
      </c>
      <c r="G7" s="14" t="s">
        <v>93</v>
      </c>
      <c r="H7" s="15" t="s">
        <v>94</v>
      </c>
    </row>
    <row r="8" spans="2:8">
      <c r="B8" s="16" t="s">
        <v>95</v>
      </c>
      <c r="C8" s="17" t="s">
        <v>96</v>
      </c>
      <c r="D8" s="17" t="s">
        <v>97</v>
      </c>
      <c r="E8" s="16" t="s">
        <v>98</v>
      </c>
      <c r="F8" s="17" t="s">
        <v>99</v>
      </c>
      <c r="G8" s="17" t="s">
        <v>93</v>
      </c>
      <c r="H8" s="17" t="s">
        <v>100</v>
      </c>
    </row>
    <row r="9" spans="2:8">
      <c r="B9" s="18">
        <v>1</v>
      </c>
      <c r="C9" s="19" t="s">
        <v>101</v>
      </c>
      <c r="D9" s="19" t="s">
        <v>102</v>
      </c>
      <c r="E9" s="19" t="s">
        <v>103</v>
      </c>
      <c r="F9" s="19" t="s">
        <v>99</v>
      </c>
      <c r="G9" s="19" t="s">
        <v>93</v>
      </c>
      <c r="H9" s="19" t="s">
        <v>104</v>
      </c>
    </row>
    <row r="10" spans="2:8">
      <c r="B10" s="18">
        <v>2</v>
      </c>
      <c r="C10" s="19" t="s">
        <v>101</v>
      </c>
      <c r="D10" s="19" t="s">
        <v>105</v>
      </c>
      <c r="E10" s="19"/>
      <c r="F10" s="19" t="s">
        <v>106</v>
      </c>
      <c r="G10" s="19" t="s">
        <v>93</v>
      </c>
      <c r="H10" s="19" t="s">
        <v>107</v>
      </c>
    </row>
    <row r="11" spans="2:8">
      <c r="B11" s="18">
        <v>3</v>
      </c>
      <c r="C11" s="19" t="s">
        <v>101</v>
      </c>
      <c r="D11" s="19" t="s">
        <v>108</v>
      </c>
      <c r="E11" s="19"/>
      <c r="F11" s="19" t="s">
        <v>106</v>
      </c>
      <c r="G11" s="19" t="s">
        <v>109</v>
      </c>
      <c r="H11" s="19" t="s">
        <v>110</v>
      </c>
    </row>
    <row r="12" spans="2:8">
      <c r="B12" s="18">
        <v>4</v>
      </c>
      <c r="C12" s="19" t="s">
        <v>101</v>
      </c>
      <c r="D12" s="19" t="s">
        <v>111</v>
      </c>
      <c r="E12" s="19"/>
      <c r="F12" s="19" t="s">
        <v>112</v>
      </c>
      <c r="G12" s="19" t="s">
        <v>93</v>
      </c>
      <c r="H12" s="19" t="s">
        <v>113</v>
      </c>
    </row>
    <row r="13" spans="2:8">
      <c r="B13" s="18">
        <v>5</v>
      </c>
      <c r="C13" s="19" t="s">
        <v>101</v>
      </c>
      <c r="D13" s="19" t="s">
        <v>114</v>
      </c>
      <c r="E13" s="19"/>
      <c r="F13" s="19" t="s">
        <v>112</v>
      </c>
      <c r="G13" s="19" t="s">
        <v>109</v>
      </c>
      <c r="H13" s="19" t="s">
        <v>115</v>
      </c>
    </row>
    <row r="14" spans="2:8">
      <c r="B14" s="18">
        <v>6</v>
      </c>
      <c r="C14" s="19" t="s">
        <v>101</v>
      </c>
      <c r="D14" s="19" t="s">
        <v>116</v>
      </c>
      <c r="E14" s="19"/>
      <c r="F14" s="19" t="s">
        <v>99</v>
      </c>
      <c r="G14" s="19" t="s">
        <v>109</v>
      </c>
      <c r="H14" s="19" t="s">
        <v>117</v>
      </c>
    </row>
    <row r="15" spans="2:8">
      <c r="B15" s="18">
        <v>7</v>
      </c>
      <c r="C15" s="19" t="s">
        <v>118</v>
      </c>
      <c r="D15" s="19" t="s">
        <v>119</v>
      </c>
      <c r="E15" s="19" t="s">
        <v>103</v>
      </c>
      <c r="F15" s="19" t="s">
        <v>99</v>
      </c>
      <c r="G15" s="19" t="s">
        <v>93</v>
      </c>
      <c r="H15" s="19" t="s">
        <v>120</v>
      </c>
    </row>
    <row r="16" spans="2:8">
      <c r="B16" s="18">
        <v>8</v>
      </c>
      <c r="C16" s="19" t="s">
        <v>118</v>
      </c>
      <c r="D16" s="19" t="s">
        <v>121</v>
      </c>
      <c r="E16" s="19"/>
      <c r="F16" s="19" t="s">
        <v>122</v>
      </c>
      <c r="G16" s="19" t="s">
        <v>93</v>
      </c>
      <c r="H16" s="19" t="s">
        <v>123</v>
      </c>
    </row>
    <row r="17" spans="2:8">
      <c r="B17" s="18">
        <v>9</v>
      </c>
      <c r="C17" s="19" t="s">
        <v>118</v>
      </c>
      <c r="D17" s="19" t="s">
        <v>124</v>
      </c>
      <c r="E17" s="19"/>
      <c r="F17" s="19" t="s">
        <v>122</v>
      </c>
      <c r="G17" s="19" t="s">
        <v>93</v>
      </c>
      <c r="H17" s="19" t="s">
        <v>125</v>
      </c>
    </row>
    <row r="18" spans="2:8">
      <c r="B18" s="18">
        <v>10</v>
      </c>
      <c r="C18" s="19" t="s">
        <v>126</v>
      </c>
      <c r="D18" s="19" t="s">
        <v>127</v>
      </c>
      <c r="E18" s="19" t="s">
        <v>103</v>
      </c>
      <c r="F18" s="19" t="s">
        <v>99</v>
      </c>
      <c r="G18" s="19" t="s">
        <v>93</v>
      </c>
      <c r="H18" s="19" t="s">
        <v>128</v>
      </c>
    </row>
    <row r="19" spans="2:8">
      <c r="B19" s="18">
        <v>11</v>
      </c>
      <c r="C19" s="19" t="s">
        <v>126</v>
      </c>
      <c r="D19" s="19" t="s">
        <v>129</v>
      </c>
      <c r="E19" s="19" t="s">
        <v>130</v>
      </c>
      <c r="F19" s="19" t="s">
        <v>99</v>
      </c>
      <c r="G19" s="19" t="s">
        <v>93</v>
      </c>
      <c r="H19" s="19" t="s">
        <v>131</v>
      </c>
    </row>
    <row r="20" spans="2:8">
      <c r="B20" s="18">
        <v>12</v>
      </c>
      <c r="C20" s="19" t="s">
        <v>126</v>
      </c>
      <c r="D20" s="19" t="s">
        <v>132</v>
      </c>
      <c r="E20" s="19" t="s">
        <v>133</v>
      </c>
      <c r="F20" s="19" t="s">
        <v>106</v>
      </c>
      <c r="G20" s="19" t="s">
        <v>93</v>
      </c>
      <c r="H20" s="19" t="s">
        <v>134</v>
      </c>
    </row>
    <row r="21" spans="2:8">
      <c r="B21" s="18">
        <v>13</v>
      </c>
      <c r="C21" s="19" t="s">
        <v>126</v>
      </c>
      <c r="D21" s="19" t="s">
        <v>135</v>
      </c>
      <c r="E21" s="19"/>
      <c r="F21" s="19" t="s">
        <v>136</v>
      </c>
      <c r="G21" s="19" t="s">
        <v>109</v>
      </c>
      <c r="H21" s="19" t="s">
        <v>137</v>
      </c>
    </row>
    <row r="22" spans="2:8">
      <c r="B22" s="18">
        <v>14</v>
      </c>
      <c r="C22" s="19" t="s">
        <v>126</v>
      </c>
      <c r="D22" s="19" t="s">
        <v>138</v>
      </c>
      <c r="E22" s="19"/>
      <c r="F22" s="19" t="s">
        <v>122</v>
      </c>
      <c r="G22" s="19" t="s">
        <v>109</v>
      </c>
      <c r="H22" s="19" t="s">
        <v>139</v>
      </c>
    </row>
    <row r="23" spans="2:8">
      <c r="B23" s="18">
        <v>15</v>
      </c>
      <c r="C23" s="19" t="s">
        <v>140</v>
      </c>
      <c r="D23" s="19" t="s">
        <v>102</v>
      </c>
      <c r="E23" s="19" t="s">
        <v>141</v>
      </c>
      <c r="F23" s="19" t="s">
        <v>99</v>
      </c>
      <c r="G23" s="19" t="s">
        <v>93</v>
      </c>
      <c r="H23" s="19" t="s">
        <v>142</v>
      </c>
    </row>
    <row r="24" spans="2:8">
      <c r="B24" s="18">
        <v>16</v>
      </c>
      <c r="C24" s="19" t="s">
        <v>140</v>
      </c>
      <c r="D24" s="19" t="s">
        <v>119</v>
      </c>
      <c r="E24" s="19" t="s">
        <v>141</v>
      </c>
      <c r="F24" s="19" t="s">
        <v>99</v>
      </c>
      <c r="G24" s="19" t="s">
        <v>93</v>
      </c>
      <c r="H24" s="19" t="s">
        <v>143</v>
      </c>
    </row>
    <row r="25" spans="2:8">
      <c r="B25" s="18">
        <v>17</v>
      </c>
      <c r="C25" s="19" t="s">
        <v>140</v>
      </c>
      <c r="D25" s="19" t="s">
        <v>144</v>
      </c>
      <c r="E25" s="19"/>
      <c r="F25" s="19" t="s">
        <v>136</v>
      </c>
      <c r="G25" s="19" t="s">
        <v>93</v>
      </c>
      <c r="H25" s="19" t="s">
        <v>145</v>
      </c>
    </row>
    <row r="26" spans="2:8">
      <c r="B26" s="18">
        <v>18</v>
      </c>
      <c r="C26" s="19"/>
      <c r="D26" s="19"/>
      <c r="E26" s="19"/>
      <c r="F26" s="19"/>
      <c r="G26" s="19"/>
      <c r="H26" s="19"/>
    </row>
    <row r="27" spans="2:8">
      <c r="B27" s="18">
        <v>19</v>
      </c>
      <c r="C27" s="19"/>
      <c r="D27" s="19"/>
      <c r="E27" s="19"/>
      <c r="F27" s="19"/>
      <c r="G27" s="19"/>
      <c r="H27" s="19"/>
    </row>
    <row r="28" spans="2:8">
      <c r="B28" s="18">
        <v>20</v>
      </c>
      <c r="C28" s="19"/>
      <c r="D28" s="19"/>
      <c r="E28" s="19"/>
      <c r="F28" s="19"/>
      <c r="G28" s="19"/>
      <c r="H28" s="19"/>
    </row>
    <row r="29" spans="2:8">
      <c r="B29" s="18">
        <v>21</v>
      </c>
      <c r="C29" s="19"/>
      <c r="D29" s="19"/>
      <c r="E29" s="19"/>
      <c r="F29" s="19"/>
      <c r="G29" s="19"/>
      <c r="H29" s="19"/>
    </row>
    <row r="30" spans="2:8">
      <c r="B30" s="18">
        <v>22</v>
      </c>
      <c r="C30" s="19"/>
      <c r="D30" s="19"/>
      <c r="E30" s="19"/>
      <c r="F30" s="19"/>
      <c r="G30" s="19"/>
      <c r="H30" s="19"/>
    </row>
    <row r="31" spans="2:8">
      <c r="B31" s="18">
        <v>23</v>
      </c>
      <c r="C31" s="19"/>
      <c r="D31" s="19"/>
      <c r="E31" s="19"/>
      <c r="F31" s="19"/>
      <c r="G31" s="19"/>
      <c r="H31" s="19"/>
    </row>
    <row r="32" spans="2:8">
      <c r="B32" s="18">
        <v>24</v>
      </c>
      <c r="C32" s="19"/>
      <c r="D32" s="19"/>
      <c r="E32" s="19"/>
      <c r="F32" s="19"/>
      <c r="G32" s="19"/>
      <c r="H32" s="19"/>
    </row>
    <row r="35" spans="2:8" ht="17.100000000000001">
      <c r="B35" s="28" t="s">
        <v>146</v>
      </c>
      <c r="C35" s="28"/>
      <c r="D35" s="28"/>
      <c r="E35" s="28"/>
      <c r="F35" s="28"/>
      <c r="G35" s="28"/>
      <c r="H35" s="28"/>
    </row>
    <row r="36" spans="2:8" ht="15" customHeight="1">
      <c r="B36" s="34" t="s">
        <v>147</v>
      </c>
      <c r="C36" s="34"/>
      <c r="D36" s="34"/>
      <c r="E36" s="20">
        <f>SUMPRODUCT((C9:C32&lt;&gt;"")/COUNTIF(C9:C32,C9:C32&amp;""))</f>
        <v>4.0000000000000009</v>
      </c>
      <c r="F36" s="27" t="s">
        <v>148</v>
      </c>
      <c r="G36" s="27"/>
      <c r="H36" s="27"/>
    </row>
    <row r="37" spans="2:8" ht="15" customHeight="1">
      <c r="B37" s="34" t="s">
        <v>149</v>
      </c>
      <c r="C37" s="34"/>
      <c r="D37" s="34"/>
      <c r="E37" s="20">
        <f>COUNTA(D9:D32)</f>
        <v>17</v>
      </c>
      <c r="F37" s="31" t="s">
        <v>150</v>
      </c>
      <c r="G37" s="31"/>
      <c r="H37" s="31"/>
    </row>
    <row r="38" spans="2:8" ht="15" customHeight="1">
      <c r="B38" s="34" t="s">
        <v>151</v>
      </c>
      <c r="C38" s="34"/>
      <c r="D38" s="34"/>
      <c r="E38" s="20">
        <f>COUNTIF(E9:E32,"主キー(PK)")+COUNTIF(E9:E32,"PK+FK")</f>
        <v>5</v>
      </c>
      <c r="F38" s="27" t="s">
        <v>152</v>
      </c>
      <c r="G38" s="27"/>
      <c r="H38" s="27"/>
    </row>
    <row r="39" spans="2:8" ht="15" customHeight="1">
      <c r="B39" s="34" t="s">
        <v>153</v>
      </c>
      <c r="C39" s="34"/>
      <c r="D39" s="34"/>
      <c r="E39" s="20">
        <f>COUNTIF(E9:E32,"外部キー(FK)")+COUNTIF(E9:E32,"PK+FK")</f>
        <v>3</v>
      </c>
      <c r="F39" s="27" t="s">
        <v>154</v>
      </c>
      <c r="G39" s="27"/>
      <c r="H39" s="27"/>
    </row>
    <row r="40" spans="2:8" ht="15" customHeight="1">
      <c r="B40" s="34" t="s">
        <v>155</v>
      </c>
      <c r="C40" s="34"/>
      <c r="D40" s="34"/>
      <c r="E40" s="20">
        <f>COUNTIF(F9:F32,"NVARCHAR*")</f>
        <v>6</v>
      </c>
      <c r="F40" s="27" t="s">
        <v>156</v>
      </c>
      <c r="G40" s="27"/>
      <c r="H40" s="27"/>
    </row>
    <row r="43" spans="2:8" ht="17.100000000000001">
      <c r="B43" s="28" t="s">
        <v>157</v>
      </c>
      <c r="C43" s="28"/>
      <c r="D43" s="28"/>
      <c r="E43" s="28"/>
      <c r="F43" s="28"/>
      <c r="G43" s="28"/>
      <c r="H43" s="28"/>
    </row>
    <row r="44" spans="2:8">
      <c r="B44" s="14" t="s">
        <v>88</v>
      </c>
      <c r="C44" s="15" t="s">
        <v>158</v>
      </c>
      <c r="D44" s="15" t="s">
        <v>159</v>
      </c>
      <c r="E44" s="15" t="s">
        <v>160</v>
      </c>
      <c r="F44" s="15" t="s">
        <v>90</v>
      </c>
      <c r="G44" s="15" t="s">
        <v>161</v>
      </c>
    </row>
    <row r="45" spans="2:8">
      <c r="B45" s="16" t="s">
        <v>95</v>
      </c>
      <c r="C45" s="16" t="s">
        <v>162</v>
      </c>
      <c r="D45" s="16" t="s">
        <v>163</v>
      </c>
      <c r="E45" s="16" t="s">
        <v>164</v>
      </c>
      <c r="F45" s="17" t="s">
        <v>165</v>
      </c>
      <c r="G45" s="17" t="s">
        <v>166</v>
      </c>
    </row>
    <row r="46" spans="2:8">
      <c r="B46" s="18">
        <v>1</v>
      </c>
      <c r="C46" s="21"/>
      <c r="D46" s="21"/>
      <c r="E46" s="21"/>
      <c r="F46" s="21"/>
      <c r="G46" s="21"/>
    </row>
    <row r="47" spans="2:8">
      <c r="B47" s="18">
        <v>2</v>
      </c>
      <c r="C47" s="21"/>
      <c r="D47" s="21"/>
      <c r="E47" s="21"/>
      <c r="F47" s="21"/>
      <c r="G47" s="21"/>
    </row>
    <row r="48" spans="2:8">
      <c r="B48" s="18">
        <v>3</v>
      </c>
      <c r="C48" s="21"/>
      <c r="D48" s="21"/>
      <c r="E48" s="21"/>
      <c r="F48" s="21"/>
      <c r="G48" s="21"/>
    </row>
    <row r="49" spans="2:11">
      <c r="B49" s="18">
        <v>4</v>
      </c>
      <c r="C49" s="21"/>
      <c r="D49" s="21"/>
      <c r="E49" s="21"/>
      <c r="F49" s="21"/>
      <c r="G49" s="21"/>
    </row>
    <row r="50" spans="2:11">
      <c r="B50" s="18">
        <v>5</v>
      </c>
      <c r="C50" s="21"/>
      <c r="D50" s="21"/>
      <c r="E50" s="21"/>
      <c r="F50" s="21"/>
      <c r="G50" s="21"/>
    </row>
    <row r="51" spans="2:11">
      <c r="B51" s="18">
        <v>6</v>
      </c>
      <c r="C51" s="21"/>
      <c r="D51" s="21"/>
      <c r="E51" s="21"/>
      <c r="F51" s="21"/>
      <c r="G51" s="21"/>
    </row>
    <row r="60" spans="2:11">
      <c r="K60" s="22" t="s">
        <v>99</v>
      </c>
    </row>
    <row r="61" spans="2:11">
      <c r="K61" s="22" t="s">
        <v>122</v>
      </c>
    </row>
    <row r="62" spans="2:11">
      <c r="K62" s="22" t="s">
        <v>106</v>
      </c>
    </row>
    <row r="63" spans="2:11">
      <c r="K63" s="22" t="s">
        <v>167</v>
      </c>
    </row>
    <row r="64" spans="2:11">
      <c r="K64" s="22" t="s">
        <v>112</v>
      </c>
    </row>
    <row r="65" spans="11:11">
      <c r="K65" s="22" t="s">
        <v>136</v>
      </c>
    </row>
    <row r="66" spans="11:11">
      <c r="K66" s="22" t="s">
        <v>168</v>
      </c>
    </row>
    <row r="67" spans="11:11">
      <c r="K67" s="22" t="s">
        <v>169</v>
      </c>
    </row>
  </sheetData>
  <mergeCells count="15">
    <mergeCell ref="B40:D40"/>
    <mergeCell ref="F40:H40"/>
    <mergeCell ref="B43:H43"/>
    <mergeCell ref="B37:D37"/>
    <mergeCell ref="F37:H37"/>
    <mergeCell ref="B38:D38"/>
    <mergeCell ref="F38:H38"/>
    <mergeCell ref="B39:D39"/>
    <mergeCell ref="F39:H39"/>
    <mergeCell ref="B3:H3"/>
    <mergeCell ref="B4:H4"/>
    <mergeCell ref="B6:H6"/>
    <mergeCell ref="B35:H35"/>
    <mergeCell ref="B36:D36"/>
    <mergeCell ref="F36:H36"/>
  </mergeCells>
  <dataValidations count="3">
    <dataValidation type="list" allowBlank="1" sqref="E9:E32" xr:uid="{00000000-0002-0000-0200-000000000000}">
      <formula1>"主キー(PK),外部キー(FK),通常の列,PK+FK"</formula1>
      <formula2>0</formula2>
    </dataValidation>
    <dataValidation type="list" allowBlank="1" sqref="F9:F32" xr:uid="{00000000-0002-0000-0200-000001000000}">
      <formula1>$K$60:$K$67</formula1>
      <formula2>0</formula2>
    </dataValidation>
    <dataValidation type="list" allowBlank="1" sqref="G9:G32" xr:uid="{00000000-0002-0000-0200-000002000000}">
      <formula1>"NOT NULL,NULL可"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E24"/>
  <sheetViews>
    <sheetView showGridLines="0" tabSelected="1" topLeftCell="D1" zoomScaleNormal="100" workbookViewId="0">
      <selection activeCell="D8" sqref="D8"/>
    </sheetView>
  </sheetViews>
  <sheetFormatPr defaultColWidth="8.7109375" defaultRowHeight="15"/>
  <cols>
    <col min="1" max="1" width="3" customWidth="1"/>
    <col min="2" max="2" width="26" customWidth="1"/>
    <col min="3" max="3" width="24.140625" customWidth="1"/>
    <col min="4" max="4" width="46" customWidth="1"/>
    <col min="5" max="5" width="34" customWidth="1"/>
  </cols>
  <sheetData>
    <row r="2" spans="2:5" ht="23.1">
      <c r="B2" s="23" t="s">
        <v>170</v>
      </c>
    </row>
    <row r="3" spans="2:5" ht="15" customHeight="1">
      <c r="B3" s="27" t="s">
        <v>171</v>
      </c>
      <c r="C3" s="27"/>
      <c r="D3" s="27"/>
      <c r="E3" s="27"/>
    </row>
    <row r="5" spans="2:5">
      <c r="B5" s="32" t="s">
        <v>172</v>
      </c>
      <c r="C5" s="32"/>
      <c r="D5" s="32"/>
      <c r="E5" s="32"/>
    </row>
    <row r="6" spans="2:5">
      <c r="B6" s="24" t="s">
        <v>173</v>
      </c>
      <c r="C6" s="25" t="s">
        <v>174</v>
      </c>
      <c r="D6" s="24" t="s">
        <v>175</v>
      </c>
      <c r="E6" s="24" t="s">
        <v>176</v>
      </c>
    </row>
    <row r="7" spans="2:5" ht="25.5" customHeight="1">
      <c r="B7" s="3" t="s">
        <v>177</v>
      </c>
      <c r="C7" s="26" t="s">
        <v>178</v>
      </c>
      <c r="D7" s="4" t="s">
        <v>179</v>
      </c>
      <c r="E7" s="4"/>
    </row>
    <row r="8" spans="2:5" ht="25.5" customHeight="1">
      <c r="B8" s="3" t="s">
        <v>180</v>
      </c>
      <c r="C8" s="26" t="s">
        <v>181</v>
      </c>
      <c r="D8" s="4"/>
      <c r="E8" s="4"/>
    </row>
    <row r="9" spans="2:5" ht="25.5" customHeight="1">
      <c r="B9" s="3" t="s">
        <v>182</v>
      </c>
      <c r="C9" s="4" t="s">
        <v>183</v>
      </c>
      <c r="D9" s="4"/>
      <c r="E9" s="4"/>
    </row>
    <row r="10" spans="2:5" ht="25.5" customHeight="1">
      <c r="B10" s="7" t="s">
        <v>184</v>
      </c>
      <c r="C10" s="4" t="s">
        <v>178</v>
      </c>
      <c r="D10" s="4"/>
      <c r="E10" s="4"/>
    </row>
    <row r="11" spans="2:5" ht="25.5" customHeight="1">
      <c r="B11" s="3" t="s">
        <v>185</v>
      </c>
      <c r="C11" s="4" t="s">
        <v>183</v>
      </c>
      <c r="D11" s="4"/>
      <c r="E11" s="4"/>
    </row>
    <row r="12" spans="2:5" ht="25.5" customHeight="1">
      <c r="B12" s="3" t="s">
        <v>186</v>
      </c>
      <c r="C12" s="4" t="s">
        <v>183</v>
      </c>
      <c r="D12" s="4"/>
      <c r="E12" s="4"/>
    </row>
    <row r="14" spans="2:5" ht="15" customHeight="1">
      <c r="B14" s="27" t="s">
        <v>187</v>
      </c>
      <c r="C14" s="27"/>
      <c r="D14" s="27"/>
      <c r="E14" s="27"/>
    </row>
    <row r="16" spans="2:5" ht="17.100000000000001">
      <c r="B16" s="28" t="s">
        <v>188</v>
      </c>
      <c r="C16" s="28"/>
      <c r="D16" s="28"/>
      <c r="E16" s="28"/>
    </row>
    <row r="17" spans="2:5" ht="21.75" customHeight="1">
      <c r="B17" s="3" t="s">
        <v>189</v>
      </c>
      <c r="C17" s="35" t="s">
        <v>190</v>
      </c>
      <c r="D17" s="35"/>
      <c r="E17" s="35"/>
    </row>
    <row r="18" spans="2:5" ht="21.75" customHeight="1">
      <c r="B18" s="7" t="s">
        <v>191</v>
      </c>
      <c r="C18" s="36" t="s">
        <v>192</v>
      </c>
      <c r="D18" s="36"/>
      <c r="E18" s="36"/>
    </row>
    <row r="19" spans="2:5" ht="21.75" customHeight="1">
      <c r="B19" s="7" t="s">
        <v>193</v>
      </c>
      <c r="C19" s="35" t="s">
        <v>194</v>
      </c>
      <c r="D19" s="35"/>
      <c r="E19" s="35"/>
    </row>
    <row r="21" spans="2:5">
      <c r="B21" s="32" t="s">
        <v>195</v>
      </c>
      <c r="C21" s="32"/>
      <c r="D21" s="32"/>
      <c r="E21" s="32"/>
    </row>
    <row r="22" spans="2:5" ht="15" customHeight="1">
      <c r="B22" s="27" t="s">
        <v>196</v>
      </c>
      <c r="C22" s="27"/>
      <c r="D22" s="27"/>
      <c r="E22" s="27"/>
    </row>
    <row r="23" spans="2:5" ht="36" customHeight="1">
      <c r="B23" s="3" t="s">
        <v>197</v>
      </c>
      <c r="C23" s="29"/>
      <c r="D23" s="29"/>
      <c r="E23" s="29"/>
    </row>
    <row r="24" spans="2:5" ht="36" customHeight="1">
      <c r="B24" s="3" t="s">
        <v>198</v>
      </c>
      <c r="C24" s="29"/>
      <c r="D24" s="29"/>
      <c r="E24" s="29"/>
    </row>
  </sheetData>
  <mergeCells count="11">
    <mergeCell ref="C24:E24"/>
    <mergeCell ref="C18:E18"/>
    <mergeCell ref="C19:E19"/>
    <mergeCell ref="B21:E21"/>
    <mergeCell ref="B22:E22"/>
    <mergeCell ref="C23:E23"/>
    <mergeCell ref="B3:E3"/>
    <mergeCell ref="B5:E5"/>
    <mergeCell ref="B14:E14"/>
    <mergeCell ref="B16:E16"/>
    <mergeCell ref="C17:E17"/>
  </mergeCells>
  <dataValidations count="1">
    <dataValidation type="list" allowBlank="1" sqref="C9:C12" xr:uid="{00000000-0002-0000-0300-000000000000}">
      <formula1>"任せない（自分で全部）,案は出させる／決定は自分,相談しながら,任せる（内容は理解する）"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4e0667-7348-4abb-86b3-e9bef84558aa" xsi:nil="true"/>
    <_x610f__x898b_ xmlns="c06503f0-087d-4bed-8b7c-44a1db8da15b" xsi:nil="true"/>
    <_x4f4f__x6240__x3092__x8a18__x5165__x3057__x3066__x304f__x3060__x3055_ xmlns="c06503f0-087d-4bed-8b7c-44a1db8da15b" xsi:nil="true"/>
    <lcf76f155ced4ddcb4097134ff3c332f xmlns="c06503f0-087d-4bed-8b7c-44a1db8da15b">
      <Terms xmlns="http://schemas.microsoft.com/office/infopath/2007/PartnerControls"/>
    </lcf76f155ced4ddcb4097134ff3c332f>
    <_x610f__x898b__x306e__x30bf__x30a4__x30c8__x30eb_ xmlns="c06503f0-087d-4bed-8b7c-44a1db8da15b" xsi:nil="true"/>
    <_x8a72__x5f53__x30da__x30fc__x30b8_ xmlns="c06503f0-087d-4bed-8b7c-44a1db8da15b" xsi:nil="true"/>
    <_x304a__x540d__x524d_ xmlns="c06503f0-087d-4bed-8b7c-44a1db8da1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50AAE5AB7AC142857C523C0A30E10D" ma:contentTypeVersion="16" ma:contentTypeDescription="新しいドキュメントを作成します。" ma:contentTypeScope="" ma:versionID="e091444a7e1cde692802233d3651e46a">
  <xsd:schema xmlns:xsd="http://www.w3.org/2001/XMLSchema" xmlns:xs="http://www.w3.org/2001/XMLSchema" xmlns:p="http://schemas.microsoft.com/office/2006/metadata/properties" xmlns:ns2="c06503f0-087d-4bed-8b7c-44a1db8da15b" xmlns:ns3="684e0667-7348-4abb-86b3-e9bef84558aa" targetNamespace="http://schemas.microsoft.com/office/2006/metadata/properties" ma:root="true" ma:fieldsID="579c7094d922344568ac5ea5492cc918" ns2:_="" ns3:_="">
    <xsd:import namespace="c06503f0-087d-4bed-8b7c-44a1db8da15b"/>
    <xsd:import namespace="684e0667-7348-4abb-86b3-e9bef8455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4f4f__x6240__x3092__x8a18__x5165__x3057__x3066__x304f__x3060__x3055_" minOccurs="0"/>
                <xsd:element ref="ns2:_x304a__x540d__x524d_" minOccurs="0"/>
                <xsd:element ref="ns2:_x8a72__x5f53__x30da__x30fc__x30b8_" minOccurs="0"/>
                <xsd:element ref="ns2:_x610f__x898b__x306e__x30bf__x30a4__x30c8__x30eb_" minOccurs="0"/>
                <xsd:element ref="ns2:_x610f__x898b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503f0-087d-4bed-8b7c-44a1db8da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4f4f__x6240__x3092__x8a18__x5165__x3057__x3066__x304f__x3060__x3055_" ma:index="19" nillable="true" ma:displayName="住所を記入してくださ" ma:internalName="_x4f4f__x6240__x3092__x8a18__x5165__x3057__x3066__x304f__x3060__x3055_">
      <xsd:simpleType>
        <xsd:restriction base="dms:Text"/>
      </xsd:simpleType>
    </xsd:element>
    <xsd:element name="_x304a__x540d__x524d_" ma:index="20" nillable="true" ma:displayName="お名前" ma:internalName="_x304a__x540d__x524d_">
      <xsd:simpleType>
        <xsd:restriction base="dms:Text"/>
      </xsd:simpleType>
    </xsd:element>
    <xsd:element name="_x8a72__x5f53__x30da__x30fc__x30b8_" ma:index="21" nillable="true" ma:displayName="該当ページ" ma:internalName="_x8a72__x5f53__x30da__x30fc__x30b8_">
      <xsd:simpleType>
        <xsd:restriction base="dms:Number"/>
      </xsd:simpleType>
    </xsd:element>
    <xsd:element name="_x610f__x898b__x306e__x30bf__x30a4__x30c8__x30eb_" ma:index="22" nillable="true" ma:displayName="意見のタイトル" ma:internalName="_x610f__x898b__x306e__x30bf__x30a4__x30c8__x30eb_">
      <xsd:simpleType>
        <xsd:restriction base="dms:Note">
          <xsd:maxLength value="255"/>
        </xsd:restriction>
      </xsd:simpleType>
    </xsd:element>
    <xsd:element name="_x610f__x898b_" ma:index="23" nillable="true" ma:displayName="意見" ma:internalName="_x610f__x898b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e0667-7348-4abb-86b3-e9bef84558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f2bcef-176d-4621-aa0f-20742a0b6244}" ma:internalName="TaxCatchAll" ma:showField="CatchAllData" ma:web="684e0667-7348-4abb-86b3-e9bef84558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D13699-8410-43E1-A55D-328626361CE0}"/>
</file>

<file path=customXml/itemProps2.xml><?xml version="1.0" encoding="utf-8"?>
<ds:datastoreItem xmlns:ds="http://schemas.openxmlformats.org/officeDocument/2006/customXml" ds:itemID="{09C5055A-28D3-4DC4-9180-54C9BE3E1088}"/>
</file>

<file path=customXml/itemProps3.xml><?xml version="1.0" encoding="utf-8"?>
<ds:datastoreItem xmlns:ds="http://schemas.openxmlformats.org/officeDocument/2006/customXml" ds:itemID="{7D460BE2-5F23-4153-854F-7FA7B39F70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大類 愁人</cp:lastModifiedBy>
  <cp:revision>0</cp:revision>
  <dcterms:created xsi:type="dcterms:W3CDTF">2026-09-06T22:44:33Z</dcterms:created>
  <dcterms:modified xsi:type="dcterms:W3CDTF">2026-10-19T10:29:38Z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0x010100A950AAE5AB7AC142857C523C0A30E10D</vt:lpwstr>
  </property>
  <property fmtid="{D5CDD505-2E9C-101B-9397-08002B2CF9AE}" pid="3" name="MediaServiceImageTags">
    <vt:lpwstr/>
  </property>
</Properties>
</file>