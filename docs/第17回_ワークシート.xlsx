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11_017735FA393A3DE1112C9B3F3858FD60494B4DA9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記入方法" sheetId="1" r:id="rId1"/>
    <sheet name="CP・棚卸し" sheetId="2" r:id="rId2"/>
    <sheet name="SQL翻訳" sheetId="3" r:id="rId3"/>
    <sheet name="Codexの提案" sheetId="4" r:id="rId4"/>
    <sheet name="ふりかえり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4" l="1"/>
  <c r="I51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H42" i="3"/>
  <c r="I38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H29" i="3"/>
  <c r="I25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H16" i="3"/>
  <c r="I12" i="3"/>
  <c r="J11" i="3"/>
  <c r="I11" i="3"/>
  <c r="K10" i="3"/>
  <c r="J10" i="3"/>
  <c r="I10" i="3"/>
  <c r="K9" i="3"/>
  <c r="J9" i="3"/>
  <c r="I9" i="3"/>
  <c r="K8" i="3"/>
  <c r="J8" i="3"/>
  <c r="I8" i="3"/>
  <c r="H7" i="3"/>
  <c r="C30" i="2"/>
  <c r="C5" i="5" s="1"/>
  <c r="F24" i="2"/>
  <c r="F19" i="2"/>
  <c r="F12" i="2"/>
  <c r="F4" i="2"/>
</calcChain>
</file>

<file path=xl/sharedStrings.xml><?xml version="1.0" encoding="utf-8"?>
<sst xmlns="http://schemas.openxmlformats.org/spreadsheetml/2006/main" count="214" uniqueCount="168">
  <si>
    <r>
      <rPr>
        <b/>
        <sz val="15"/>
        <color rgb="FF0078D4"/>
        <rFont val="Noto Sans CJK SC"/>
        <family val="2"/>
      </rPr>
      <t>第</t>
    </r>
    <r>
      <rPr>
        <b/>
        <sz val="15"/>
        <color rgb="FF0078D4"/>
        <rFont val="Meiryo"/>
        <charset val="1"/>
      </rPr>
      <t>17</t>
    </r>
    <r>
      <rPr>
        <b/>
        <sz val="15"/>
        <color rgb="FF0078D4"/>
        <rFont val="Noto Sans CJK SC"/>
        <family val="2"/>
      </rPr>
      <t>回 ワークシート　設計を</t>
    </r>
    <r>
      <rPr>
        <b/>
        <sz val="15"/>
        <color rgb="FF0078D4"/>
        <rFont val="Meiryo"/>
        <charset val="1"/>
      </rPr>
      <t>SQL</t>
    </r>
    <r>
      <rPr>
        <b/>
        <sz val="15"/>
        <color rgb="FF0078D4"/>
        <rFont val="Noto Sans CJK SC"/>
        <family val="2"/>
      </rPr>
      <t>へ・どの</t>
    </r>
    <r>
      <rPr>
        <b/>
        <sz val="15"/>
        <color rgb="FF0078D4"/>
        <rFont val="Meiryo"/>
        <charset val="1"/>
      </rPr>
      <t>PC</t>
    </r>
    <r>
      <rPr>
        <b/>
        <sz val="15"/>
        <color rgb="FF0078D4"/>
        <rFont val="Noto Sans CJK SC"/>
        <family val="2"/>
      </rPr>
      <t>でも同じ作業に</t>
    </r>
  </si>
  <si>
    <r>
      <rPr>
        <sz val="9.5"/>
        <color rgb="FF5C6B82"/>
        <rFont val="Noto Sans CJK SC"/>
        <family val="2"/>
      </rPr>
      <t>データベース演習｜</t>
    </r>
    <r>
      <rPr>
        <sz val="9.5"/>
        <color rgb="FF5C6B82"/>
        <rFont val="Meiryo"/>
        <charset val="1"/>
      </rPr>
      <t>10/26</t>
    </r>
    <r>
      <rPr>
        <sz val="9.5"/>
        <color rgb="FF5C6B82"/>
        <rFont val="Noto Sans CJK SC"/>
        <family val="2"/>
      </rPr>
      <t>（月）オンライン・自宅</t>
    </r>
    <r>
      <rPr>
        <sz val="9.5"/>
        <color rgb="FF5C6B82"/>
        <rFont val="Meiryo"/>
        <charset val="1"/>
      </rPr>
      <t>PC</t>
    </r>
    <r>
      <rPr>
        <sz val="9.5"/>
        <color rgb="FF5C6B82"/>
        <rFont val="Noto Sans CJK SC"/>
        <family val="2"/>
      </rPr>
      <t>｜合同会社</t>
    </r>
    <r>
      <rPr>
        <sz val="9.5"/>
        <color rgb="FF5C6B82"/>
        <rFont val="Meiryo"/>
        <charset val="1"/>
      </rPr>
      <t xml:space="preserve">ippo </t>
    </r>
    <r>
      <rPr>
        <sz val="9.5"/>
        <color rgb="FF5C6B82"/>
        <rFont val="Noto Sans CJK SC"/>
        <family val="2"/>
      </rPr>
      <t>山口</t>
    </r>
  </si>
  <si>
    <t>名前</t>
  </si>
  <si>
    <t>学籍番号</t>
  </si>
  <si>
    <t>このブックの使い方</t>
  </si>
  <si>
    <t>色</t>
  </si>
  <si>
    <t>意味</t>
  </si>
  <si>
    <t>あなたが入力するセル（▼が出るセルはリストから選ぶ）</t>
  </si>
  <si>
    <r>
      <rPr>
        <sz val="10"/>
        <color rgb="FF222222"/>
        <rFont val="Noto Sans CJK SC"/>
        <family val="2"/>
      </rPr>
      <t>記入例。書き方の見本なので、消さずに残しておいて</t>
    </r>
    <r>
      <rPr>
        <sz val="10"/>
        <color rgb="FF222222"/>
        <rFont val="Meiryo"/>
        <charset val="1"/>
      </rPr>
      <t>OK</t>
    </r>
  </si>
  <si>
    <t>見出し・自動で計算されるセル（入力しない）</t>
  </si>
  <si>
    <t>シートの順番 ＝ 今日の流れ</t>
  </si>
  <si>
    <t>シート</t>
  </si>
  <si>
    <t>使う時間</t>
  </si>
  <si>
    <t>やること</t>
  </si>
  <si>
    <r>
      <rPr>
        <b/>
        <sz val="10"/>
        <color rgb="FF1E2A47"/>
        <rFont val="Meiryo"/>
        <charset val="1"/>
      </rPr>
      <t>CP</t>
    </r>
    <r>
      <rPr>
        <b/>
        <sz val="10"/>
        <color rgb="FF1E2A47"/>
        <rFont val="Noto Sans CJK SC"/>
        <family val="2"/>
      </rPr>
      <t>・棚卸し</t>
    </r>
  </si>
  <si>
    <r>
      <rPr>
        <sz val="10"/>
        <color rgb="FF222222"/>
        <rFont val="Noto Sans CJK SC"/>
        <family val="2"/>
      </rPr>
      <t>演習</t>
    </r>
    <r>
      <rPr>
        <sz val="10"/>
        <color rgb="FF222222"/>
        <rFont val="Meiryo"/>
        <charset val="1"/>
      </rPr>
      <t>1</t>
    </r>
    <r>
      <rPr>
        <sz val="10"/>
        <color rgb="FF222222"/>
        <rFont val="Noto Sans CJK SC"/>
        <family val="2"/>
      </rPr>
      <t>〜仕上げ／演習</t>
    </r>
    <r>
      <rPr>
        <sz val="10"/>
        <color rgb="FF222222"/>
        <rFont val="Meiryo"/>
        <charset val="1"/>
      </rPr>
      <t>2</t>
    </r>
  </si>
  <si>
    <r>
      <rPr>
        <sz val="10"/>
        <color rgb="FF222222"/>
        <rFont val="Meiryo"/>
        <charset val="1"/>
      </rPr>
      <t>4</t>
    </r>
    <r>
      <rPr>
        <sz val="10"/>
        <color rgb="FF222222"/>
        <rFont val="Noto Sans CJK SC"/>
        <family val="2"/>
      </rPr>
      <t>つの</t>
    </r>
    <r>
      <rPr>
        <sz val="10"/>
        <color rgb="FF222222"/>
        <rFont val="Meiryo"/>
        <charset val="1"/>
      </rPr>
      <t>CP</t>
    </r>
    <r>
      <rPr>
        <sz val="10"/>
        <color rgb="FF222222"/>
        <rFont val="Noto Sans CJK SC"/>
        <family val="2"/>
      </rPr>
      <t>のチェック、</t>
    </r>
    <r>
      <rPr>
        <sz val="10"/>
        <color rgb="FF222222"/>
        <rFont val="Meiryo"/>
        <charset val="1"/>
      </rPr>
      <t>Azure</t>
    </r>
    <r>
      <rPr>
        <sz val="10"/>
        <color rgb="FF222222"/>
        <rFont val="Noto Sans CJK SC"/>
        <family val="2"/>
      </rPr>
      <t>の古いテーブルの棚卸し</t>
    </r>
  </si>
  <si>
    <r>
      <rPr>
        <b/>
        <sz val="10"/>
        <color rgb="FF1E2A47"/>
        <rFont val="Meiryo"/>
        <charset val="1"/>
      </rPr>
      <t>SQL</t>
    </r>
    <r>
      <rPr>
        <b/>
        <sz val="10"/>
        <color rgb="FF1E2A47"/>
        <rFont val="Noto Sans CJK SC"/>
        <family val="2"/>
      </rPr>
      <t>翻訳</t>
    </r>
  </si>
  <si>
    <r>
      <rPr>
        <sz val="10"/>
        <color rgb="FF222222"/>
        <rFont val="Noto Sans CJK SC"/>
        <family val="2"/>
      </rPr>
      <t>演習</t>
    </r>
    <r>
      <rPr>
        <sz val="10"/>
        <color rgb="FF222222"/>
        <rFont val="Meiryo"/>
        <charset val="1"/>
      </rPr>
      <t>2</t>
    </r>
    <r>
      <rPr>
        <sz val="10"/>
        <color rgb="FF222222"/>
        <rFont val="Noto Sans CJK SC"/>
        <family val="2"/>
      </rPr>
      <t>（</t>
    </r>
    <r>
      <rPr>
        <sz val="10"/>
        <color rgb="FF222222"/>
        <rFont val="Meiryo"/>
        <charset val="1"/>
      </rPr>
      <t>17:45</t>
    </r>
    <r>
      <rPr>
        <sz val="10"/>
        <color rgb="FF222222"/>
        <rFont val="Noto Sans CJK SC"/>
        <family val="2"/>
      </rPr>
      <t>〜）</t>
    </r>
  </si>
  <si>
    <r>
      <rPr>
        <sz val="10"/>
        <color rgb="FF222222"/>
        <rFont val="Noto Sans CJK SC"/>
        <family val="2"/>
      </rPr>
      <t>要件定義シートの</t>
    </r>
    <r>
      <rPr>
        <sz val="10"/>
        <color rgb="FF222222"/>
        <rFont val="Meiryo"/>
        <charset val="1"/>
      </rPr>
      <t>1</t>
    </r>
    <r>
      <rPr>
        <sz val="10"/>
        <color rgb="FF222222"/>
        <rFont val="Noto Sans CJK SC"/>
        <family val="2"/>
      </rPr>
      <t>行を、</t>
    </r>
    <r>
      <rPr>
        <sz val="10"/>
        <color rgb="FF222222"/>
        <rFont val="Meiryo"/>
        <charset val="1"/>
      </rPr>
      <t>SQL</t>
    </r>
    <r>
      <rPr>
        <sz val="10"/>
        <color rgb="FF222222"/>
        <rFont val="Noto Sans CJK SC"/>
        <family val="2"/>
      </rPr>
      <t>の</t>
    </r>
    <r>
      <rPr>
        <sz val="10"/>
        <color rgb="FF222222"/>
        <rFont val="Meiryo"/>
        <charset val="1"/>
      </rPr>
      <t>1</t>
    </r>
    <r>
      <rPr>
        <sz val="10"/>
        <color rgb="FF222222"/>
        <rFont val="Noto Sans CJK SC"/>
        <family val="2"/>
      </rPr>
      <t xml:space="preserve">行に翻訳して </t>
    </r>
    <r>
      <rPr>
        <sz val="10"/>
        <color rgb="FF222222"/>
        <rFont val="Meiryo"/>
        <charset val="1"/>
      </rPr>
      <t xml:space="preserve">schema.sql </t>
    </r>
    <r>
      <rPr>
        <sz val="10"/>
        <color rgb="FF222222"/>
        <rFont val="Noto Sans CJK SC"/>
        <family val="2"/>
      </rPr>
      <t>に書く</t>
    </r>
  </si>
  <si>
    <r>
      <rPr>
        <b/>
        <sz val="10"/>
        <color rgb="FF1E2A47"/>
        <rFont val="Meiryo"/>
        <charset val="1"/>
      </rPr>
      <t>Codex</t>
    </r>
    <r>
      <rPr>
        <b/>
        <sz val="10"/>
        <color rgb="FF1E2A47"/>
        <rFont val="Noto Sans CJK SC"/>
        <family val="2"/>
      </rPr>
      <t>の提案</t>
    </r>
  </si>
  <si>
    <r>
      <rPr>
        <sz val="10"/>
        <color rgb="FF222222"/>
        <rFont val="Noto Sans CJK SC"/>
        <family val="2"/>
      </rPr>
      <t>演習</t>
    </r>
    <r>
      <rPr>
        <sz val="10"/>
        <color rgb="FF222222"/>
        <rFont val="Meiryo"/>
        <charset val="1"/>
      </rPr>
      <t>3</t>
    </r>
    <r>
      <rPr>
        <sz val="10"/>
        <color rgb="FF222222"/>
        <rFont val="Noto Sans CJK SC"/>
        <family val="2"/>
      </rPr>
      <t>（</t>
    </r>
    <r>
      <rPr>
        <sz val="10"/>
        <color rgb="FF222222"/>
        <rFont val="Meiryo"/>
        <charset val="1"/>
      </rPr>
      <t>18:35</t>
    </r>
    <r>
      <rPr>
        <sz val="10"/>
        <color rgb="FF222222"/>
        <rFont val="Noto Sans CJK SC"/>
        <family val="2"/>
      </rPr>
      <t>〜）</t>
    </r>
  </si>
  <si>
    <r>
      <rPr>
        <sz val="10"/>
        <color rgb="FF222222"/>
        <rFont val="Meiryo"/>
        <charset val="1"/>
      </rPr>
      <t>Codex</t>
    </r>
    <r>
      <rPr>
        <sz val="10"/>
        <color rgb="FF222222"/>
        <rFont val="Noto Sans CJK SC"/>
        <family val="2"/>
      </rPr>
      <t>の設計レビューを、採用／不採用＋理由で判断する</t>
    </r>
  </si>
  <si>
    <t>ふりかえり</t>
  </si>
  <si>
    <r>
      <rPr>
        <sz val="10"/>
        <color rgb="FF222222"/>
        <rFont val="Noto Sans CJK SC"/>
        <family val="2"/>
      </rPr>
      <t>仕上げ（</t>
    </r>
    <r>
      <rPr>
        <sz val="10"/>
        <color rgb="FF222222"/>
        <rFont val="Meiryo"/>
        <charset val="1"/>
      </rPr>
      <t>19:15</t>
    </r>
    <r>
      <rPr>
        <sz val="10"/>
        <color rgb="FF222222"/>
        <rFont val="Noto Sans CJK SC"/>
        <family val="2"/>
      </rPr>
      <t>〜）</t>
    </r>
  </si>
  <si>
    <t>どこまで行けたか・迷ったところ・家でやること</t>
  </si>
  <si>
    <t>保存と提出</t>
  </si>
  <si>
    <r>
      <rPr>
        <sz val="10"/>
        <color rgb="FF222222"/>
        <rFont val="Noto Sans CJK SC"/>
        <family val="2"/>
      </rPr>
      <t xml:space="preserve">・このファイルは </t>
    </r>
    <r>
      <rPr>
        <sz val="10"/>
        <color rgb="FF222222"/>
        <rFont val="Meiryo"/>
        <charset val="1"/>
      </rPr>
      <t xml:space="preserve">db-app/docs </t>
    </r>
    <r>
      <rPr>
        <sz val="10"/>
        <color rgb="FF222222"/>
        <rFont val="Noto Sans CJK SC"/>
        <family val="2"/>
      </rPr>
      <t>フォルダに保存する（ファイル名：第</t>
    </r>
    <r>
      <rPr>
        <sz val="10"/>
        <color rgb="FF222222"/>
        <rFont val="Meiryo"/>
        <charset val="1"/>
      </rPr>
      <t>17</t>
    </r>
    <r>
      <rPr>
        <sz val="10"/>
        <color rgb="FF222222"/>
        <rFont val="Noto Sans CJK SC"/>
        <family val="2"/>
      </rPr>
      <t>回</t>
    </r>
    <r>
      <rPr>
        <sz val="10"/>
        <color rgb="FF222222"/>
        <rFont val="Meiryo"/>
        <charset val="1"/>
      </rPr>
      <t>_</t>
    </r>
    <r>
      <rPr>
        <sz val="10"/>
        <color rgb="FF222222"/>
        <rFont val="Noto Sans CJK SC"/>
        <family val="2"/>
      </rPr>
      <t>ワークシート</t>
    </r>
    <r>
      <rPr>
        <sz val="10"/>
        <color rgb="FF222222"/>
        <rFont val="Meiryo"/>
        <charset val="1"/>
      </rPr>
      <t>_</t>
    </r>
    <r>
      <rPr>
        <sz val="10"/>
        <color rgb="FF222222"/>
        <rFont val="Noto Sans CJK SC"/>
        <family val="2"/>
      </rPr>
      <t>学籍番号</t>
    </r>
    <r>
      <rPr>
        <sz val="10"/>
        <color rgb="FF222222"/>
        <rFont val="Meiryo"/>
        <charset val="1"/>
      </rPr>
      <t>.xlsx</t>
    </r>
    <r>
      <rPr>
        <sz val="10"/>
        <color rgb="FF222222"/>
        <rFont val="Noto Sans CJK SC"/>
        <family val="2"/>
      </rPr>
      <t>）</t>
    </r>
  </si>
  <si>
    <r>
      <rPr>
        <sz val="10"/>
        <color rgb="FF222222"/>
        <rFont val="Noto Sans CJK SC"/>
        <family val="2"/>
      </rPr>
      <t>・コミット → 同期すれば、学校</t>
    </r>
    <r>
      <rPr>
        <sz val="10"/>
        <color rgb="FF222222"/>
        <rFont val="Meiryo"/>
        <charset val="1"/>
      </rPr>
      <t>PC</t>
    </r>
    <r>
      <rPr>
        <sz val="10"/>
        <color rgb="FF222222"/>
        <rFont val="Noto Sans CJK SC"/>
        <family val="2"/>
      </rPr>
      <t>でも自宅</t>
    </r>
    <r>
      <rPr>
        <sz val="10"/>
        <color rgb="FF222222"/>
        <rFont val="Meiryo"/>
        <charset val="1"/>
      </rPr>
      <t>PC</t>
    </r>
    <r>
      <rPr>
        <sz val="10"/>
        <color rgb="FF222222"/>
        <rFont val="Noto Sans CJK SC"/>
        <family val="2"/>
      </rPr>
      <t>でも同じワークシートが開けます</t>
    </r>
  </si>
  <si>
    <r>
      <rPr>
        <sz val="10"/>
        <color rgb="FF222222"/>
        <rFont val="Noto Sans CJK SC"/>
        <family val="2"/>
      </rPr>
      <t xml:space="preserve">・提出：このファイル ＋ </t>
    </r>
    <r>
      <rPr>
        <sz val="10"/>
        <color rgb="FF222222"/>
        <rFont val="Meiryo"/>
        <charset val="1"/>
      </rPr>
      <t xml:space="preserve">github.com </t>
    </r>
    <r>
      <rPr>
        <sz val="10"/>
        <color rgb="FF222222"/>
        <rFont val="Noto Sans CJK SC"/>
        <family val="2"/>
      </rPr>
      <t xml:space="preserve">の自分のリポジトリ画面のスクショ を </t>
    </r>
    <r>
      <rPr>
        <sz val="10"/>
        <color rgb="FF222222"/>
        <rFont val="Meiryo"/>
        <charset val="1"/>
      </rPr>
      <t xml:space="preserve">Teams </t>
    </r>
    <r>
      <rPr>
        <sz val="10"/>
        <color rgb="FF222222"/>
        <rFont val="Noto Sans CJK SC"/>
        <family val="2"/>
      </rPr>
      <t>の課題へ</t>
    </r>
  </si>
  <si>
    <t>困ったとき</t>
  </si>
  <si>
    <t>こうなった</t>
  </si>
  <si>
    <t>まず試すこと</t>
  </si>
  <si>
    <r>
      <rPr>
        <b/>
        <sz val="10"/>
        <color rgb="FF1E2A47"/>
        <rFont val="Noto Sans CJK SC"/>
        <family val="2"/>
      </rPr>
      <t>個人の</t>
    </r>
    <r>
      <rPr>
        <b/>
        <sz val="10"/>
        <color rgb="FF1E2A47"/>
        <rFont val="Meiryo"/>
        <charset val="1"/>
      </rPr>
      <t>ChatGPT</t>
    </r>
    <r>
      <rPr>
        <b/>
        <sz val="10"/>
        <color rgb="FF1E2A47"/>
        <rFont val="Noto Sans CJK SC"/>
        <family val="2"/>
      </rPr>
      <t>で入ってしまう</t>
    </r>
  </si>
  <si>
    <r>
      <rPr>
        <sz val="10"/>
        <color rgb="FF222222"/>
        <rFont val="Meiryo"/>
        <charset val="1"/>
      </rPr>
      <t xml:space="preserve">chatgpt.com </t>
    </r>
    <r>
      <rPr>
        <sz val="10"/>
        <color rgb="FF222222"/>
        <rFont val="Noto Sans CJK SC"/>
        <family val="2"/>
      </rPr>
      <t xml:space="preserve">で一度ログアウト → </t>
    </r>
    <r>
      <rPr>
        <sz val="10"/>
        <color rgb="FF222222"/>
        <rFont val="Meiryo"/>
        <charset val="1"/>
      </rPr>
      <t xml:space="preserve">VS Code </t>
    </r>
    <r>
      <rPr>
        <sz val="10"/>
        <color rgb="FF222222"/>
        <rFont val="Noto Sans CJK SC"/>
        <family val="2"/>
      </rPr>
      <t>からもう一度サインイン</t>
    </r>
  </si>
  <si>
    <r>
      <rPr>
        <b/>
        <sz val="10"/>
        <color rgb="FF1E2A47"/>
        <rFont val="Noto Sans CJK SC"/>
        <family val="2"/>
      </rPr>
      <t>「</t>
    </r>
    <r>
      <rPr>
        <b/>
        <sz val="10"/>
        <color rgb="FF1E2A47"/>
        <rFont val="Meiryo"/>
        <charset val="1"/>
      </rPr>
      <t xml:space="preserve">GitHub </t>
    </r>
    <r>
      <rPr>
        <b/>
        <sz val="10"/>
        <color rgb="FF1E2A47"/>
        <rFont val="Noto Sans CJK SC"/>
        <family val="2"/>
      </rPr>
      <t>に公開」が出ない</t>
    </r>
  </si>
  <si>
    <r>
      <rPr>
        <sz val="10"/>
        <color rgb="FF222222"/>
        <rFont val="Noto Sans CJK SC"/>
        <family val="2"/>
      </rPr>
      <t>先に「リポジトリを初期化」→ 最初のコミット。</t>
    </r>
    <r>
      <rPr>
        <sz val="10"/>
        <color rgb="FF222222"/>
        <rFont val="Meiryo"/>
        <charset val="1"/>
      </rPr>
      <t xml:space="preserve">Git </t>
    </r>
    <r>
      <rPr>
        <sz val="10"/>
        <color rgb="FF222222"/>
        <rFont val="Noto Sans CJK SC"/>
        <family val="2"/>
      </rPr>
      <t xml:space="preserve">が無ければ </t>
    </r>
    <r>
      <rPr>
        <sz val="10"/>
        <color rgb="FF222222"/>
        <rFont val="Meiryo"/>
        <charset val="1"/>
      </rPr>
      <t xml:space="preserve">git-scm.com </t>
    </r>
    <r>
      <rPr>
        <sz val="10"/>
        <color rgb="FF222222"/>
        <rFont val="Noto Sans CJK SC"/>
        <family val="2"/>
      </rPr>
      <t xml:space="preserve">から入れて </t>
    </r>
    <r>
      <rPr>
        <sz val="10"/>
        <color rgb="FF222222"/>
        <rFont val="Meiryo"/>
        <charset val="1"/>
      </rPr>
      <t xml:space="preserve">VS Code </t>
    </r>
    <r>
      <rPr>
        <sz val="10"/>
        <color rgb="FF222222"/>
        <rFont val="Noto Sans CJK SC"/>
        <family val="2"/>
      </rPr>
      <t>再起動</t>
    </r>
  </si>
  <si>
    <r>
      <rPr>
        <b/>
        <sz val="10"/>
        <color rgb="FF1E2A47"/>
        <rFont val="Meiryo"/>
        <charset val="1"/>
      </rPr>
      <t>Azure</t>
    </r>
    <r>
      <rPr>
        <b/>
        <sz val="10"/>
        <color rgb="FF1E2A47"/>
        <rFont val="Noto Sans CJK SC"/>
        <family val="2"/>
      </rPr>
      <t>「利用できません」</t>
    </r>
  </si>
  <si>
    <r>
      <rPr>
        <sz val="10"/>
        <color rgb="FF222222"/>
        <rFont val="Meiryo"/>
        <charset val="1"/>
      </rPr>
      <t>30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Meiryo"/>
        <charset val="1"/>
      </rPr>
      <t>60</t>
    </r>
    <r>
      <rPr>
        <sz val="10"/>
        <color rgb="FF222222"/>
        <rFont val="Noto Sans CJK SC"/>
        <family val="2"/>
      </rPr>
      <t>秒待って再実行（自動一時停止から起動中）</t>
    </r>
  </si>
  <si>
    <r>
      <rPr>
        <b/>
        <sz val="10"/>
        <color rgb="FF1E2A47"/>
        <rFont val="Meiryo"/>
        <charset val="1"/>
      </rPr>
      <t xml:space="preserve">2714 </t>
    </r>
    <r>
      <rPr>
        <b/>
        <sz val="10"/>
        <color rgb="FF1E2A47"/>
        <rFont val="Noto Sans CJK SC"/>
        <family val="2"/>
      </rPr>
      <t xml:space="preserve">／ </t>
    </r>
    <r>
      <rPr>
        <b/>
        <sz val="10"/>
        <color rgb="FF1E2A47"/>
        <rFont val="Meiryo"/>
        <charset val="1"/>
      </rPr>
      <t xml:space="preserve">3726 </t>
    </r>
    <r>
      <rPr>
        <b/>
        <sz val="10"/>
        <color rgb="FF1E2A47"/>
        <rFont val="Noto Sans CJK SC"/>
        <family val="2"/>
      </rPr>
      <t xml:space="preserve">／ </t>
    </r>
    <r>
      <rPr>
        <b/>
        <sz val="10"/>
        <color rgb="FF1E2A47"/>
        <rFont val="Meiryo"/>
        <charset val="1"/>
      </rPr>
      <t>547</t>
    </r>
  </si>
  <si>
    <t>同名あり → 新しい方の名前を変える ／ 子を先に消す ／ 親のデータを先に入れる</t>
  </si>
  <si>
    <r>
      <rPr>
        <b/>
        <sz val="10"/>
        <color rgb="FF1E2A47"/>
        <rFont val="Meiryo"/>
        <charset val="1"/>
      </rPr>
      <t xml:space="preserve">Codex </t>
    </r>
    <r>
      <rPr>
        <b/>
        <sz val="10"/>
        <color rgb="FF1E2A47"/>
        <rFont val="Noto Sans CJK SC"/>
        <family val="2"/>
      </rPr>
      <t xml:space="preserve">が </t>
    </r>
    <r>
      <rPr>
        <b/>
        <sz val="10"/>
        <color rgb="FF1E2A47"/>
        <rFont val="Meiryo"/>
        <charset val="1"/>
      </rPr>
      <t xml:space="preserve">npm install </t>
    </r>
    <r>
      <rPr>
        <b/>
        <sz val="10"/>
        <color rgb="FF1E2A47"/>
        <rFont val="Noto Sans CJK SC"/>
        <family val="2"/>
      </rPr>
      <t>と言い出した</t>
    </r>
  </si>
  <si>
    <r>
      <rPr>
        <sz val="10"/>
        <color rgb="FF222222"/>
        <rFont val="Noto Sans CJK SC"/>
        <family val="2"/>
      </rPr>
      <t>作業を止めて「</t>
    </r>
    <r>
      <rPr>
        <sz val="10"/>
        <color rgb="FF222222"/>
        <rFont val="Meiryo"/>
        <charset val="1"/>
      </rPr>
      <t xml:space="preserve">AGENTS.md </t>
    </r>
    <r>
      <rPr>
        <sz val="10"/>
        <color rgb="FF222222"/>
        <rFont val="Noto Sans CJK SC"/>
        <family val="2"/>
      </rPr>
      <t>を守って」と返す（</t>
    </r>
    <r>
      <rPr>
        <sz val="10"/>
        <color rgb="FF222222"/>
        <rFont val="Meiryo"/>
        <charset val="1"/>
      </rPr>
      <t xml:space="preserve">Node.js </t>
    </r>
    <r>
      <rPr>
        <sz val="10"/>
        <color rgb="FF222222"/>
        <rFont val="Noto Sans CJK SC"/>
        <family val="2"/>
      </rPr>
      <t>は使いません）</t>
    </r>
  </si>
  <si>
    <t>表が出ない</t>
  </si>
  <si>
    <r>
      <rPr>
        <sz val="10"/>
        <color rgb="FF222222"/>
        <rFont val="Meiryo"/>
        <charset val="1"/>
      </rPr>
      <t xml:space="preserve">F12 → Console </t>
    </r>
    <r>
      <rPr>
        <sz val="10"/>
        <color rgb="FF222222"/>
        <rFont val="Noto Sans CJK SC"/>
        <family val="2"/>
      </rPr>
      <t xml:space="preserve">の赤い文字を </t>
    </r>
    <r>
      <rPr>
        <sz val="10"/>
        <color rgb="FF222222"/>
        <rFont val="Meiryo"/>
        <charset val="1"/>
      </rPr>
      <t xml:space="preserve">Codex </t>
    </r>
    <r>
      <rPr>
        <sz val="10"/>
        <color rgb="FF222222"/>
        <rFont val="Noto Sans CJK SC"/>
        <family val="2"/>
      </rPr>
      <t>に貼る</t>
    </r>
  </si>
  <si>
    <r>
      <rPr>
        <b/>
        <sz val="10"/>
        <color rgb="FF1E2A47"/>
        <rFont val="Meiryo"/>
        <charset val="1"/>
      </rPr>
      <t>5</t>
    </r>
    <r>
      <rPr>
        <b/>
        <sz val="10"/>
        <color rgb="FF1E2A47"/>
        <rFont val="Noto Sans CJK SC"/>
        <family val="2"/>
      </rPr>
      <t>分試してダメ</t>
    </r>
  </si>
  <si>
    <r>
      <rPr>
        <sz val="10"/>
        <color rgb="FF222222"/>
        <rFont val="Meiryo"/>
        <charset val="1"/>
      </rPr>
      <t xml:space="preserve">Teams </t>
    </r>
    <r>
      <rPr>
        <sz val="10"/>
        <color rgb="FF222222"/>
        <rFont val="Noto Sans CJK SC"/>
        <family val="2"/>
      </rPr>
      <t>のスレッドに「</t>
    </r>
    <r>
      <rPr>
        <sz val="10"/>
        <color rgb="FF222222"/>
        <rFont val="Meiryo"/>
        <charset val="1"/>
      </rPr>
      <t>CP</t>
    </r>
    <r>
      <rPr>
        <sz val="10"/>
        <color rgb="FF222222"/>
        <rFont val="Noto Sans CJK SC"/>
        <family val="2"/>
      </rPr>
      <t>番号＋困っていること＋画面のスクショ」</t>
    </r>
  </si>
  <si>
    <t>① チェックポイント と 棚卸し</t>
  </si>
  <si>
    <r>
      <rPr>
        <sz val="9.5"/>
        <color rgb="FF5C6B82"/>
        <rFont val="Meiryo"/>
        <charset val="1"/>
      </rPr>
      <t>CP</t>
    </r>
    <r>
      <rPr>
        <sz val="9.5"/>
        <color rgb="FF5C6B82"/>
        <rFont val="Noto Sans CJK SC"/>
        <family val="2"/>
      </rPr>
      <t>のチェックは「済」を選ぶ。</t>
    </r>
    <r>
      <rPr>
        <sz val="9.5"/>
        <color rgb="FF5C6B82"/>
        <rFont val="Meiryo"/>
        <charset val="1"/>
      </rPr>
      <t>CP</t>
    </r>
    <r>
      <rPr>
        <sz val="9.5"/>
        <color rgb="FF5C6B82"/>
        <rFont val="Noto Sans CJK SC"/>
        <family val="2"/>
      </rPr>
      <t xml:space="preserve">に着いたら </t>
    </r>
    <r>
      <rPr>
        <sz val="9.5"/>
        <color rgb="FF5C6B82"/>
        <rFont val="Meiryo"/>
        <charset val="1"/>
      </rPr>
      <t xml:space="preserve">Teams </t>
    </r>
    <r>
      <rPr>
        <sz val="9.5"/>
        <color rgb="FF5C6B82"/>
        <rFont val="Noto Sans CJK SC"/>
        <family val="2"/>
      </rPr>
      <t>のスレッドに「</t>
    </r>
    <r>
      <rPr>
        <sz val="9.5"/>
        <color rgb="FF5C6B82"/>
        <rFont val="Meiryo"/>
        <charset val="1"/>
      </rPr>
      <t>CP1</t>
    </r>
    <r>
      <rPr>
        <sz val="9.5"/>
        <color rgb="FF5C6B82"/>
        <rFont val="Noto Sans CJK SC"/>
        <family val="2"/>
      </rPr>
      <t>できた」のように書く。</t>
    </r>
  </si>
  <si>
    <r>
      <rPr>
        <b/>
        <sz val="10"/>
        <color rgb="FFFFFFFF"/>
        <rFont val="Meiryo"/>
        <charset val="1"/>
      </rPr>
      <t>CP1</t>
    </r>
    <r>
      <rPr>
        <b/>
        <sz val="10"/>
        <color rgb="FFFFFFFF"/>
        <rFont val="Noto Sans CJK SC"/>
        <family val="2"/>
      </rPr>
      <t>　自宅</t>
    </r>
    <r>
      <rPr>
        <b/>
        <sz val="10"/>
        <color rgb="FFFFFFFF"/>
        <rFont val="Meiryo"/>
        <charset val="1"/>
      </rPr>
      <t>PC</t>
    </r>
    <r>
      <rPr>
        <b/>
        <sz val="10"/>
        <color rgb="FFFFFFFF"/>
        <rFont val="Noto Sans CJK SC"/>
        <family val="2"/>
      </rPr>
      <t xml:space="preserve">で </t>
    </r>
    <r>
      <rPr>
        <b/>
        <sz val="10"/>
        <color rgb="FFFFFFFF"/>
        <rFont val="Meiryo"/>
        <charset val="1"/>
      </rPr>
      <t xml:space="preserve">Codex </t>
    </r>
    <r>
      <rPr>
        <b/>
        <sz val="10"/>
        <color rgb="FFFFFFFF"/>
        <rFont val="Noto Sans CJK SC"/>
        <family val="2"/>
      </rPr>
      <t>が返事し、</t>
    </r>
    <r>
      <rPr>
        <b/>
        <sz val="10"/>
        <color rgb="FFFFFFFF"/>
        <rFont val="Meiryo"/>
        <charset val="1"/>
      </rPr>
      <t xml:space="preserve">GitHub </t>
    </r>
    <r>
      <rPr>
        <b/>
        <sz val="10"/>
        <color rgb="FFFFFFFF"/>
        <rFont val="Noto Sans CJK SC"/>
        <family val="2"/>
      </rPr>
      <t xml:space="preserve">にリポジトリがある（目安 </t>
    </r>
    <r>
      <rPr>
        <b/>
        <sz val="10"/>
        <color rgb="FFFFFFFF"/>
        <rFont val="Meiryo"/>
        <charset val="1"/>
      </rPr>
      <t>17:35</t>
    </r>
    <r>
      <rPr>
        <b/>
        <sz val="10"/>
        <color rgb="FFFFFFFF"/>
        <rFont val="Noto Sans CJK SC"/>
        <family val="2"/>
      </rPr>
      <t>）</t>
    </r>
  </si>
  <si>
    <r>
      <rPr>
        <sz val="10"/>
        <color rgb="FF222222"/>
        <rFont val="Meiryo"/>
        <charset val="1"/>
      </rPr>
      <t>VS Code</t>
    </r>
    <r>
      <rPr>
        <sz val="10"/>
        <color rgb="FF222222"/>
        <rFont val="Noto Sans CJK SC"/>
        <family val="2"/>
      </rPr>
      <t>・</t>
    </r>
    <r>
      <rPr>
        <sz val="10"/>
        <color rgb="FF222222"/>
        <rFont val="Meiryo"/>
        <charset val="1"/>
      </rPr>
      <t xml:space="preserve">Git </t>
    </r>
    <r>
      <rPr>
        <sz val="10"/>
        <color rgb="FF222222"/>
        <rFont val="Noto Sans CJK SC"/>
        <family val="2"/>
      </rPr>
      <t xml:space="preserve">が動く（ターミナルで </t>
    </r>
    <r>
      <rPr>
        <sz val="10"/>
        <color rgb="FF222222"/>
        <rFont val="Meiryo"/>
        <charset val="1"/>
      </rPr>
      <t>git --version</t>
    </r>
    <r>
      <rPr>
        <sz val="10"/>
        <color rgb="FF222222"/>
        <rFont val="Noto Sans CJK SC"/>
        <family val="2"/>
      </rPr>
      <t>）</t>
    </r>
  </si>
  <si>
    <r>
      <rPr>
        <sz val="10"/>
        <color rgb="FF222222"/>
        <rFont val="Meiryo"/>
        <charset val="1"/>
      </rPr>
      <t xml:space="preserve">Codex </t>
    </r>
    <r>
      <rPr>
        <sz val="10"/>
        <color rgb="FF222222"/>
        <rFont val="Noto Sans CJK SC"/>
        <family val="2"/>
      </rPr>
      <t xml:space="preserve">拡張機能（発行元 </t>
    </r>
    <r>
      <rPr>
        <sz val="10"/>
        <color rgb="FF222222"/>
        <rFont val="Meiryo"/>
        <charset val="1"/>
      </rPr>
      <t>OpenAI</t>
    </r>
    <r>
      <rPr>
        <sz val="10"/>
        <color rgb="FF222222"/>
        <rFont val="Noto Sans CJK SC"/>
        <family val="2"/>
      </rPr>
      <t>）を入れ、学校のアカウントでサインイン</t>
    </r>
  </si>
  <si>
    <r>
      <rPr>
        <sz val="10"/>
        <color rgb="FF222222"/>
        <rFont val="Noto Sans CJK SC"/>
        <family val="2"/>
      </rPr>
      <t xml:space="preserve">スターターキットを展開し </t>
    </r>
    <r>
      <rPr>
        <sz val="10"/>
        <color rgb="FF222222"/>
        <rFont val="Meiryo"/>
        <charset val="1"/>
      </rPr>
      <t xml:space="preserve">db-app </t>
    </r>
    <r>
      <rPr>
        <sz val="10"/>
        <color rgb="FF222222"/>
        <rFont val="Noto Sans CJK SC"/>
        <family val="2"/>
      </rPr>
      <t>を開いた</t>
    </r>
  </si>
  <si>
    <r>
      <rPr>
        <sz val="10"/>
        <color rgb="FF222222"/>
        <rFont val="Noto Sans CJK SC"/>
        <family val="2"/>
      </rPr>
      <t>第</t>
    </r>
    <r>
      <rPr>
        <sz val="10"/>
        <color rgb="FF222222"/>
        <rFont val="Meiryo"/>
        <charset val="1"/>
      </rPr>
      <t>16</t>
    </r>
    <r>
      <rPr>
        <sz val="10"/>
        <color rgb="FF222222"/>
        <rFont val="Noto Sans CJK SC"/>
        <family val="2"/>
      </rPr>
      <t>回の要件定義シート</t>
    </r>
    <r>
      <rPr>
        <sz val="10"/>
        <color rgb="FF222222"/>
        <rFont val="Meiryo"/>
        <charset val="1"/>
      </rPr>
      <t xml:space="preserve">.xlsx </t>
    </r>
    <r>
      <rPr>
        <sz val="10"/>
        <color rgb="FF222222"/>
        <rFont val="Noto Sans CJK SC"/>
        <family val="2"/>
      </rPr>
      <t xml:space="preserve">を </t>
    </r>
    <r>
      <rPr>
        <sz val="10"/>
        <color rgb="FF222222"/>
        <rFont val="Meiryo"/>
        <charset val="1"/>
      </rPr>
      <t xml:space="preserve">docs </t>
    </r>
    <r>
      <rPr>
        <sz val="10"/>
        <color rgb="FF222222"/>
        <rFont val="Noto Sans CJK SC"/>
        <family val="2"/>
      </rPr>
      <t>に入れた</t>
    </r>
  </si>
  <si>
    <t>指示⓪ に返事が来た</t>
  </si>
  <si>
    <r>
      <rPr>
        <sz val="10"/>
        <color rgb="FF222222"/>
        <rFont val="Noto Sans CJK SC"/>
        <family val="2"/>
      </rPr>
      <t>「</t>
    </r>
    <r>
      <rPr>
        <sz val="10"/>
        <color rgb="FF222222"/>
        <rFont val="Meiryo"/>
        <charset val="1"/>
      </rPr>
      <t xml:space="preserve">GitHub </t>
    </r>
    <r>
      <rPr>
        <sz val="10"/>
        <color rgb="FF222222"/>
        <rFont val="Noto Sans CJK SC"/>
        <family val="2"/>
      </rPr>
      <t>に公開」できた（プライベート）</t>
    </r>
  </si>
  <si>
    <r>
      <rPr>
        <b/>
        <sz val="10"/>
        <color rgb="FFFFFFFF"/>
        <rFont val="Meiryo"/>
        <charset val="1"/>
      </rPr>
      <t>CP2</t>
    </r>
    <r>
      <rPr>
        <b/>
        <sz val="10"/>
        <color rgb="FFFFFFFF"/>
        <rFont val="Noto Sans CJK SC"/>
        <family val="2"/>
      </rPr>
      <t xml:space="preserve">　自分のテーブルが </t>
    </r>
    <r>
      <rPr>
        <b/>
        <sz val="10"/>
        <color rgb="FFFFFFFF"/>
        <rFont val="Meiryo"/>
        <charset val="1"/>
      </rPr>
      <t xml:space="preserve">Azure </t>
    </r>
    <r>
      <rPr>
        <b/>
        <sz val="10"/>
        <color rgb="FFFFFFFF"/>
        <rFont val="Noto Sans CJK SC"/>
        <family val="2"/>
      </rPr>
      <t xml:space="preserve">にある（目安 </t>
    </r>
    <r>
      <rPr>
        <b/>
        <sz val="10"/>
        <color rgb="FFFFFFFF"/>
        <rFont val="Meiryo"/>
        <charset val="1"/>
      </rPr>
      <t>18:35</t>
    </r>
    <r>
      <rPr>
        <b/>
        <sz val="10"/>
        <color rgb="FFFFFFFF"/>
        <rFont val="Noto Sans CJK SC"/>
        <family val="2"/>
      </rPr>
      <t>）＝ 第</t>
    </r>
    <r>
      <rPr>
        <b/>
        <sz val="10"/>
        <color rgb="FFFFFFFF"/>
        <rFont val="Meiryo"/>
        <charset val="1"/>
      </rPr>
      <t>16</t>
    </r>
    <r>
      <rPr>
        <b/>
        <sz val="10"/>
        <color rgb="FFFFFFFF"/>
        <rFont val="Noto Sans CJK SC"/>
        <family val="2"/>
      </rPr>
      <t>回 演習</t>
    </r>
    <r>
      <rPr>
        <b/>
        <sz val="10"/>
        <color rgb="FFFFFFFF"/>
        <rFont val="Meiryo"/>
        <charset val="1"/>
      </rPr>
      <t>2②</t>
    </r>
    <r>
      <rPr>
        <b/>
        <sz val="10"/>
        <color rgb="FFFFFFFF"/>
        <rFont val="Noto Sans CJK SC"/>
        <family val="2"/>
      </rPr>
      <t>の続き</t>
    </r>
  </si>
  <si>
    <t>棚卸し（下の表）を書いた</t>
  </si>
  <si>
    <r>
      <rPr>
        <sz val="10"/>
        <color rgb="FF222222"/>
        <rFont val="Noto Sans CJK SC"/>
        <family val="2"/>
      </rPr>
      <t>「</t>
    </r>
    <r>
      <rPr>
        <sz val="10"/>
        <color rgb="FF222222"/>
        <rFont val="Meiryo"/>
        <charset val="1"/>
      </rPr>
      <t>SQL</t>
    </r>
    <r>
      <rPr>
        <sz val="10"/>
        <color rgb="FF222222"/>
        <rFont val="Noto Sans CJK SC"/>
        <family val="2"/>
      </rPr>
      <t>翻訳」シートを書き、</t>
    </r>
    <r>
      <rPr>
        <sz val="10"/>
        <color rgb="FF222222"/>
        <rFont val="Meiryo"/>
        <charset val="1"/>
      </rPr>
      <t xml:space="preserve">schema.sql </t>
    </r>
    <r>
      <rPr>
        <sz val="10"/>
        <color rgb="FF222222"/>
        <rFont val="Noto Sans CJK SC"/>
        <family val="2"/>
      </rPr>
      <t>を自分の設計に書き換えた</t>
    </r>
  </si>
  <si>
    <r>
      <rPr>
        <sz val="10"/>
        <color rgb="FF222222"/>
        <rFont val="Meiryo"/>
        <charset val="1"/>
      </rPr>
      <t xml:space="preserve">CREATE </t>
    </r>
    <r>
      <rPr>
        <sz val="10"/>
        <color rgb="FF222222"/>
        <rFont val="Noto Sans CJK SC"/>
        <family val="2"/>
      </rPr>
      <t>できた</t>
    </r>
  </si>
  <si>
    <r>
      <rPr>
        <sz val="10"/>
        <color rgb="FF222222"/>
        <rFont val="Noto Sans CJK SC"/>
        <family val="2"/>
      </rPr>
      <t>各テーブル</t>
    </r>
    <r>
      <rPr>
        <sz val="10"/>
        <color rgb="FF222222"/>
        <rFont val="Meiryo"/>
        <charset val="1"/>
      </rPr>
      <t>3</t>
    </r>
    <r>
      <rPr>
        <sz val="10"/>
        <color rgb="FF222222"/>
        <rFont val="Noto Sans CJK SC"/>
        <family val="2"/>
      </rPr>
      <t xml:space="preserve">件以上 </t>
    </r>
    <r>
      <rPr>
        <sz val="10"/>
        <color rgb="FF222222"/>
        <rFont val="Meiryo"/>
        <charset val="1"/>
      </rPr>
      <t xml:space="preserve">INSERT </t>
    </r>
    <r>
      <rPr>
        <sz val="10"/>
        <color rgb="FF222222"/>
        <rFont val="Noto Sans CJK SC"/>
        <family val="2"/>
      </rPr>
      <t>した</t>
    </r>
  </si>
  <si>
    <r>
      <rPr>
        <sz val="10"/>
        <color rgb="FF222222"/>
        <rFont val="Meiryo"/>
        <charset val="1"/>
      </rPr>
      <t xml:space="preserve">SELECT </t>
    </r>
    <r>
      <rPr>
        <sz val="10"/>
        <color rgb="FF222222"/>
        <rFont val="Noto Sans CJK SC"/>
        <family val="2"/>
      </rPr>
      <t>でデータが見えた</t>
    </r>
  </si>
  <si>
    <r>
      <rPr>
        <b/>
        <sz val="10"/>
        <color rgb="FFFFFFFF"/>
        <rFont val="Meiryo"/>
        <charset val="1"/>
      </rPr>
      <t>CP3</t>
    </r>
    <r>
      <rPr>
        <b/>
        <sz val="10"/>
        <color rgb="FFFFFFFF"/>
        <rFont val="Noto Sans CJK SC"/>
        <family val="2"/>
      </rPr>
      <t xml:space="preserve">　自分のデータがアプリに出る（目安 </t>
    </r>
    <r>
      <rPr>
        <b/>
        <sz val="10"/>
        <color rgb="FFFFFFFF"/>
        <rFont val="Meiryo"/>
        <charset val="1"/>
      </rPr>
      <t>19:15</t>
    </r>
    <r>
      <rPr>
        <b/>
        <sz val="10"/>
        <color rgb="FFFFFFFF"/>
        <rFont val="Noto Sans CJK SC"/>
        <family val="2"/>
      </rPr>
      <t>）＝ 第</t>
    </r>
    <r>
      <rPr>
        <b/>
        <sz val="10"/>
        <color rgb="FFFFFFFF"/>
        <rFont val="Meiryo"/>
        <charset val="1"/>
      </rPr>
      <t>16</t>
    </r>
    <r>
      <rPr>
        <b/>
        <sz val="10"/>
        <color rgb="FFFFFFFF"/>
        <rFont val="Noto Sans CJK SC"/>
        <family val="2"/>
      </rPr>
      <t>回 演習</t>
    </r>
    <r>
      <rPr>
        <b/>
        <sz val="10"/>
        <color rgb="FFFFFFFF"/>
        <rFont val="Meiryo"/>
        <charset val="1"/>
      </rPr>
      <t>3</t>
    </r>
  </si>
  <si>
    <r>
      <rPr>
        <sz val="10"/>
        <color rgb="FF222222"/>
        <rFont val="Noto Sans CJK SC"/>
        <family val="2"/>
      </rPr>
      <t>指示① で設計レビュー →「</t>
    </r>
    <r>
      <rPr>
        <sz val="10"/>
        <color rgb="FF222222"/>
        <rFont val="Meiryo"/>
        <charset val="1"/>
      </rPr>
      <t>Codex</t>
    </r>
    <r>
      <rPr>
        <sz val="10"/>
        <color rgb="FF222222"/>
        <rFont val="Noto Sans CJK SC"/>
        <family val="2"/>
      </rPr>
      <t>の提案」シートに採否を書いた</t>
    </r>
  </si>
  <si>
    <r>
      <rPr>
        <sz val="10"/>
        <color rgb="FF222222"/>
        <rFont val="Noto Sans CJK SC"/>
        <family val="2"/>
      </rPr>
      <t xml:space="preserve">指示② で </t>
    </r>
    <r>
      <rPr>
        <sz val="10"/>
        <color rgb="FF222222"/>
        <rFont val="Meiryo"/>
        <charset val="1"/>
      </rPr>
      <t xml:space="preserve">index.html </t>
    </r>
    <r>
      <rPr>
        <sz val="10"/>
        <color rgb="FF222222"/>
        <rFont val="Noto Sans CJK SC"/>
        <family val="2"/>
      </rPr>
      <t>ができ、ダブルクリックで表が出た</t>
    </r>
  </si>
  <si>
    <t>指示③ で説明させ、分からない行に印をつけた</t>
  </si>
  <si>
    <r>
      <rPr>
        <b/>
        <sz val="10"/>
        <color rgb="FFFFFFFF"/>
        <rFont val="Meiryo"/>
        <charset val="1"/>
      </rPr>
      <t>CP4</t>
    </r>
    <r>
      <rPr>
        <b/>
        <sz val="10"/>
        <color rgb="FFFFFFFF"/>
        <rFont val="Noto Sans CJK SC"/>
        <family val="2"/>
      </rPr>
      <t>　</t>
    </r>
    <r>
      <rPr>
        <b/>
        <sz val="10"/>
        <color rgb="FFFFFFFF"/>
        <rFont val="Meiryo"/>
        <charset val="1"/>
      </rPr>
      <t xml:space="preserve">GitHub </t>
    </r>
    <r>
      <rPr>
        <b/>
        <sz val="10"/>
        <color rgb="FFFFFFFF"/>
        <rFont val="Noto Sans CJK SC"/>
        <family val="2"/>
      </rPr>
      <t xml:space="preserve">に届いた（目安 </t>
    </r>
    <r>
      <rPr>
        <b/>
        <sz val="10"/>
        <color rgb="FFFFFFFF"/>
        <rFont val="Meiryo"/>
        <charset val="1"/>
      </rPr>
      <t>19:30</t>
    </r>
    <r>
      <rPr>
        <b/>
        <sz val="10"/>
        <color rgb="FFFFFFFF"/>
        <rFont val="Noto Sans CJK SC"/>
        <family val="2"/>
      </rPr>
      <t>）</t>
    </r>
  </si>
  <si>
    <r>
      <rPr>
        <sz val="10"/>
        <color rgb="FF222222"/>
        <rFont val="Meiryo"/>
        <charset val="1"/>
      </rPr>
      <t xml:space="preserve">schema.sql </t>
    </r>
    <r>
      <rPr>
        <sz val="10"/>
        <color rgb="FF222222"/>
        <rFont val="Noto Sans CJK SC"/>
        <family val="2"/>
      </rPr>
      <t>が勝手に変わっていない</t>
    </r>
  </si>
  <si>
    <r>
      <rPr>
        <sz val="10"/>
        <color rgb="FF222222"/>
        <rFont val="Meiryo"/>
        <charset val="1"/>
      </rPr>
      <t xml:space="preserve">README </t>
    </r>
    <r>
      <rPr>
        <sz val="10"/>
        <color rgb="FF222222"/>
        <rFont val="Noto Sans CJK SC"/>
        <family val="2"/>
      </rPr>
      <t xml:space="preserve">の </t>
    </r>
    <r>
      <rPr>
        <sz val="10"/>
        <color rgb="FF222222"/>
        <rFont val="Meiryo"/>
        <charset val="1"/>
      </rPr>
      <t>AI</t>
    </r>
    <r>
      <rPr>
        <sz val="10"/>
        <color rgb="FF222222"/>
        <rFont val="Noto Sans CJK SC"/>
        <family val="2"/>
      </rPr>
      <t>区分表を埋めた</t>
    </r>
  </si>
  <si>
    <t>コミット → 同期した</t>
  </si>
  <si>
    <r>
      <rPr>
        <sz val="10"/>
        <color rgb="FF222222"/>
        <rFont val="Meiryo"/>
        <charset val="1"/>
      </rPr>
      <t xml:space="preserve">github.com </t>
    </r>
    <r>
      <rPr>
        <sz val="10"/>
        <color rgb="FF222222"/>
        <rFont val="Noto Sans CJK SC"/>
        <family val="2"/>
      </rPr>
      <t>で自分のリポジトリを開き、今日のファイルが見えた</t>
    </r>
  </si>
  <si>
    <t>到達</t>
  </si>
  <si>
    <t>← 「済」を選ぶと自動で変わります</t>
  </si>
  <si>
    <r>
      <rPr>
        <b/>
        <sz val="11.5"/>
        <color rgb="FF2E9E5B"/>
        <rFont val="Noto Sans CJK SC"/>
        <family val="2"/>
      </rPr>
      <t>棚卸し（ハンズオン</t>
    </r>
    <r>
      <rPr>
        <b/>
        <sz val="11.5"/>
        <color rgb="FF2E9E5B"/>
        <rFont val="Meiryo"/>
        <charset val="1"/>
      </rPr>
      <t xml:space="preserve">SQL STEP 1 </t>
    </r>
    <r>
      <rPr>
        <b/>
        <sz val="11.5"/>
        <color rgb="FF2E9E5B"/>
        <rFont val="Noto Sans CJK SC"/>
        <family val="2"/>
      </rPr>
      <t>の結果を書き写す）</t>
    </r>
  </si>
  <si>
    <t>#</t>
  </si>
  <si>
    <t>今あるテーブル名</t>
  </si>
  <si>
    <t>作った日</t>
  </si>
  <si>
    <t>今の要件定義シートにある？</t>
  </si>
  <si>
    <t>どうする？</t>
  </si>
  <si>
    <t>例</t>
  </si>
  <si>
    <r>
      <rPr>
        <sz val="10"/>
        <color rgb="FF5C6B82"/>
        <rFont val="Noto Sans CJK SC"/>
        <family val="2"/>
      </rPr>
      <t>練習</t>
    </r>
    <r>
      <rPr>
        <sz val="10"/>
        <color rgb="FF5C6B82"/>
        <rFont val="Meiryo"/>
        <charset val="1"/>
      </rPr>
      <t>_</t>
    </r>
    <r>
      <rPr>
        <sz val="10"/>
        <color rgb="FF5C6B82"/>
        <rFont val="Noto Sans CJK SC"/>
        <family val="2"/>
      </rPr>
      <t>商品</t>
    </r>
  </si>
  <si>
    <t>2026-08-03</t>
  </si>
  <si>
    <t>ない</t>
  </si>
  <si>
    <t>残す</t>
  </si>
  <si>
    <r>
      <rPr>
        <sz val="9.5"/>
        <color rgb="FF9A6700"/>
        <rFont val="Noto Sans CJK SC"/>
        <family val="2"/>
      </rPr>
      <t>判断ルール：① 迷ったら消さない　② 名前がぶつかったら「新しく作る方」の名前を変える　③ 消すのは「今のシートに無い」かつ「前期の練習用」と言えるものだけ（子 → 親の順）。
※「ある」なのに「消す」を選ぶと赤くなります。※ クエリエディター左の「保存済みクエリ」は</t>
    </r>
    <r>
      <rPr>
        <sz val="9.5"/>
        <color rgb="FF9A6700"/>
        <rFont val="Meiryo"/>
        <charset val="1"/>
      </rPr>
      <t>DB</t>
    </r>
    <r>
      <rPr>
        <sz val="9.5"/>
        <color rgb="FF9A6700"/>
        <rFont val="Noto Sans CJK SC"/>
        <family val="2"/>
      </rPr>
      <t>の中身ではありません。消しても消さなくても影響なし。</t>
    </r>
  </si>
  <si>
    <r>
      <rPr>
        <b/>
        <sz val="15"/>
        <color rgb="FF2E9E5B"/>
        <rFont val="Noto Sans CJK SC"/>
        <family val="2"/>
      </rPr>
      <t>② シートの</t>
    </r>
    <r>
      <rPr>
        <b/>
        <sz val="15"/>
        <color rgb="FF2E9E5B"/>
        <rFont val="Meiryo"/>
        <charset val="1"/>
      </rPr>
      <t>1</t>
    </r>
    <r>
      <rPr>
        <b/>
        <sz val="15"/>
        <color rgb="FF2E9E5B"/>
        <rFont val="Noto Sans CJK SC"/>
        <family val="2"/>
      </rPr>
      <t xml:space="preserve">行 ＝ </t>
    </r>
    <r>
      <rPr>
        <b/>
        <sz val="15"/>
        <color rgb="FF2E9E5B"/>
        <rFont val="Meiryo"/>
        <charset val="1"/>
      </rPr>
      <t>SQL</t>
    </r>
    <r>
      <rPr>
        <b/>
        <sz val="15"/>
        <color rgb="FF2E9E5B"/>
        <rFont val="Noto Sans CJK SC"/>
        <family val="2"/>
      </rPr>
      <t>の</t>
    </r>
    <r>
      <rPr>
        <b/>
        <sz val="15"/>
        <color rgb="FF2E9E5B"/>
        <rFont val="Meiryo"/>
        <charset val="1"/>
      </rPr>
      <t>1</t>
    </r>
    <r>
      <rPr>
        <b/>
        <sz val="15"/>
        <color rgb="FF2E9E5B"/>
        <rFont val="Noto Sans CJK SC"/>
        <family val="2"/>
      </rPr>
      <t>行（演習</t>
    </r>
    <r>
      <rPr>
        <b/>
        <sz val="15"/>
        <color rgb="FF2E9E5B"/>
        <rFont val="Meiryo"/>
        <charset val="1"/>
      </rPr>
      <t>2</t>
    </r>
    <r>
      <rPr>
        <b/>
        <sz val="15"/>
        <color rgb="FF2E9E5B"/>
        <rFont val="Noto Sans CJK SC"/>
        <family val="2"/>
      </rPr>
      <t>）</t>
    </r>
  </si>
  <si>
    <r>
      <rPr>
        <sz val="9.5"/>
        <color rgb="FF5C6B82"/>
        <rFont val="Noto Sans CJK SC"/>
        <family val="2"/>
      </rPr>
      <t>黄色に設計を選んで入れ、「自分で書いた</t>
    </r>
    <r>
      <rPr>
        <sz val="9.5"/>
        <color rgb="FF5C6B82"/>
        <rFont val="Meiryo"/>
        <charset val="1"/>
      </rPr>
      <t>SQL</t>
    </r>
    <r>
      <rPr>
        <sz val="9.5"/>
        <color rgb="FF5C6B82"/>
        <rFont val="Noto Sans CJK SC"/>
        <family val="2"/>
      </rPr>
      <t>の</t>
    </r>
    <r>
      <rPr>
        <sz val="9.5"/>
        <color rgb="FF5C6B82"/>
        <rFont val="Meiryo"/>
        <charset val="1"/>
      </rPr>
      <t>1</t>
    </r>
    <r>
      <rPr>
        <sz val="9.5"/>
        <color rgb="FF5C6B82"/>
        <rFont val="Noto Sans CJK SC"/>
        <family val="2"/>
      </rPr>
      <t xml:space="preserve">行」を自分でタイプする。判定が○になったら、その行を </t>
    </r>
    <r>
      <rPr>
        <sz val="9.5"/>
        <color rgb="FF5C6B82"/>
        <rFont val="Meiryo"/>
        <charset val="1"/>
      </rPr>
      <t xml:space="preserve">schema.sql </t>
    </r>
    <r>
      <rPr>
        <sz val="9.5"/>
        <color rgb="FF5C6B82"/>
        <rFont val="Noto Sans CJK SC"/>
        <family val="2"/>
      </rPr>
      <t>に写す。</t>
    </r>
  </si>
  <si>
    <r>
      <rPr>
        <sz val="9.5"/>
        <color rgb="FF9A6700"/>
        <rFont val="Meiryo"/>
        <charset val="1"/>
      </rPr>
      <t>J</t>
    </r>
    <r>
      <rPr>
        <sz val="9.5"/>
        <color rgb="FF9A6700"/>
        <rFont val="Noto Sans CJK SC"/>
        <family val="2"/>
      </rPr>
      <t>列「答え」は、どうしても分からないときだけ見る（列が閉じていたら、上の「</t>
    </r>
    <r>
      <rPr>
        <sz val="9.5"/>
        <color rgb="FF9A6700"/>
        <rFont val="Meiryo"/>
        <charset val="1"/>
      </rPr>
      <t>+</t>
    </r>
    <r>
      <rPr>
        <sz val="9.5"/>
        <color rgb="FF9A6700"/>
        <rFont val="Noto Sans CJK SC"/>
        <family val="2"/>
      </rPr>
      <t xml:space="preserve">」で開きます）。自分でタイプした行が○なら、それは </t>
    </r>
    <r>
      <rPr>
        <sz val="9.5"/>
        <color rgb="FF9A6700"/>
        <rFont val="Meiryo"/>
        <charset val="1"/>
      </rPr>
      <t xml:space="preserve">README </t>
    </r>
    <r>
      <rPr>
        <sz val="9.5"/>
        <color rgb="FF9A6700"/>
        <rFont val="Noto Sans CJK SC"/>
        <family val="2"/>
      </rPr>
      <t>で「自分が書いた」と言えます。</t>
    </r>
  </si>
  <si>
    <r>
      <rPr>
        <b/>
        <sz val="9.5"/>
        <color rgb="FF5C6B82"/>
        <rFont val="Noto Sans CJK SC"/>
        <family val="2"/>
      </rPr>
      <t>記入例（部活の出欠アプリ）　※</t>
    </r>
    <r>
      <rPr>
        <b/>
        <sz val="9.5"/>
        <color rgb="FF5C6B82"/>
        <rFont val="Meiryo"/>
        <charset val="1"/>
      </rPr>
      <t>2</t>
    </r>
    <r>
      <rPr>
        <b/>
        <sz val="9.5"/>
        <color rgb="FF5C6B82"/>
        <rFont val="Noto Sans CJK SC"/>
        <family val="2"/>
      </rPr>
      <t>行目はわざとカンマを忘れた例（大文字・小文字やスペースの違いは気にしなくて</t>
    </r>
    <r>
      <rPr>
        <b/>
        <sz val="9.5"/>
        <color rgb="FF5C6B82"/>
        <rFont val="Meiryo"/>
        <charset val="1"/>
      </rPr>
      <t>OK</t>
    </r>
    <r>
      <rPr>
        <b/>
        <sz val="9.5"/>
        <color rgb="FF5C6B82"/>
        <rFont val="Noto Sans CJK SC"/>
        <family val="2"/>
      </rPr>
      <t>）。✗ になるので、どこが違うか</t>
    </r>
    <r>
      <rPr>
        <b/>
        <sz val="9.5"/>
        <color rgb="FF5C6B82"/>
        <rFont val="Meiryo"/>
        <charset val="1"/>
      </rPr>
      <t>J</t>
    </r>
    <r>
      <rPr>
        <b/>
        <sz val="9.5"/>
        <color rgb="FF5C6B82"/>
        <rFont val="Noto Sans CJK SC"/>
        <family val="2"/>
      </rPr>
      <t>列と見比べてみよう</t>
    </r>
  </si>
  <si>
    <t>記入例</t>
  </si>
  <si>
    <t>部員</t>
  </si>
  <si>
    <t>← テーブル名</t>
  </si>
  <si>
    <t>列名</t>
  </si>
  <si>
    <t>データ型</t>
  </si>
  <si>
    <t>キー</t>
  </si>
  <si>
    <r>
      <rPr>
        <b/>
        <sz val="10"/>
        <color rgb="FFFFFFFF"/>
        <rFont val="Noto Sans CJK SC"/>
        <family val="2"/>
      </rPr>
      <t>空</t>
    </r>
    <r>
      <rPr>
        <b/>
        <sz val="10"/>
        <color rgb="FFFFFFFF"/>
        <rFont val="Meiryo"/>
        <charset val="1"/>
      </rPr>
      <t>OK?</t>
    </r>
  </si>
  <si>
    <r>
      <rPr>
        <b/>
        <sz val="10"/>
        <color rgb="FFFFFFFF"/>
        <rFont val="Meiryo"/>
        <charset val="1"/>
      </rPr>
      <t>FK</t>
    </r>
    <r>
      <rPr>
        <b/>
        <sz val="10"/>
        <color rgb="FFFFFFFF"/>
        <rFont val="Noto Sans CJK SC"/>
        <family val="2"/>
      </rPr>
      <t>の参照先テーブル</t>
    </r>
  </si>
  <si>
    <t>参照先の列</t>
  </si>
  <si>
    <r>
      <rPr>
        <b/>
        <sz val="10"/>
        <color rgb="FFFFFFFF"/>
        <rFont val="Noto Sans CJK SC"/>
        <family val="2"/>
      </rPr>
      <t>自分で書いた</t>
    </r>
    <r>
      <rPr>
        <b/>
        <sz val="10"/>
        <color rgb="FFFFFFFF"/>
        <rFont val="Meiryo"/>
        <charset val="1"/>
      </rPr>
      <t>SQL</t>
    </r>
    <r>
      <rPr>
        <b/>
        <sz val="10"/>
        <color rgb="FFFFFFFF"/>
        <rFont val="Noto Sans CJK SC"/>
        <family val="2"/>
      </rPr>
      <t>の</t>
    </r>
    <r>
      <rPr>
        <b/>
        <sz val="10"/>
        <color rgb="FFFFFFFF"/>
        <rFont val="Meiryo"/>
        <charset val="1"/>
      </rPr>
      <t>1</t>
    </r>
    <r>
      <rPr>
        <b/>
        <sz val="10"/>
        <color rgb="FFFFFFFF"/>
        <rFont val="Noto Sans CJK SC"/>
        <family val="2"/>
      </rPr>
      <t>行</t>
    </r>
  </si>
  <si>
    <t>判定</t>
  </si>
  <si>
    <t>答え（困ったら）</t>
  </si>
  <si>
    <r>
      <rPr>
        <sz val="9.5"/>
        <color rgb="FF5C6B82"/>
        <rFont val="Noto Sans CJK SC"/>
        <family val="2"/>
      </rPr>
      <t>（</t>
    </r>
    <r>
      <rPr>
        <sz val="9.5"/>
        <color rgb="FF5C6B82"/>
        <rFont val="Meiryo"/>
        <charset val="1"/>
      </rPr>
      <t>1</t>
    </r>
    <r>
      <rPr>
        <sz val="9.5"/>
        <color rgb="FF5C6B82"/>
        <rFont val="Noto Sans CJK SC"/>
        <family val="2"/>
      </rPr>
      <t>行目は自動）</t>
    </r>
  </si>
  <si>
    <r>
      <rPr>
        <sz val="10"/>
        <color rgb="FF5C6B82"/>
        <rFont val="Noto Sans CJK SC"/>
        <family val="2"/>
      </rPr>
      <t>部員</t>
    </r>
    <r>
      <rPr>
        <sz val="10"/>
        <color rgb="FF5C6B82"/>
        <rFont val="Meiryo"/>
        <charset val="1"/>
      </rPr>
      <t>ID</t>
    </r>
  </si>
  <si>
    <t>INT</t>
  </si>
  <si>
    <r>
      <rPr>
        <sz val="10"/>
        <color rgb="FF5C6B82"/>
        <rFont val="Meiryo"/>
        <charset val="1"/>
      </rPr>
      <t>PK</t>
    </r>
    <r>
      <rPr>
        <sz val="10"/>
        <color rgb="FF5C6B82"/>
        <rFont val="Noto Sans CJK SC"/>
        <family val="2"/>
      </rPr>
      <t>（自動番号）</t>
    </r>
  </si>
  <si>
    <t>×</t>
  </si>
  <si>
    <r>
      <rPr>
        <sz val="10"/>
        <color rgb="FF5C6B82"/>
        <rFont val="Noto Sans CJK SC"/>
        <family val="2"/>
      </rPr>
      <t>部員</t>
    </r>
    <r>
      <rPr>
        <sz val="10"/>
        <color rgb="FF5C6B82"/>
        <rFont val="Consolas"/>
        <charset val="1"/>
      </rPr>
      <t>ID INT IDENTITY(1,1) PRIMARY KEY,</t>
    </r>
  </si>
  <si>
    <t>NVARCHAR(50)</t>
  </si>
  <si>
    <r>
      <rPr>
        <sz val="10"/>
        <color rgb="FF5C6B82"/>
        <rFont val="Noto Sans CJK SC"/>
        <family val="2"/>
      </rPr>
      <t xml:space="preserve">名前 </t>
    </r>
    <r>
      <rPr>
        <sz val="10"/>
        <color rgb="FF5C6B82"/>
        <rFont val="Consolas"/>
        <charset val="1"/>
      </rPr>
      <t>NVARCHAR(50) NOT NULL</t>
    </r>
  </si>
  <si>
    <t>学年</t>
  </si>
  <si>
    <r>
      <rPr>
        <sz val="10"/>
        <color rgb="FF5C6B82"/>
        <rFont val="Noto Sans CJK SC"/>
        <family val="2"/>
      </rPr>
      <t xml:space="preserve">学年 </t>
    </r>
    <r>
      <rPr>
        <sz val="10"/>
        <color rgb="FF5C6B82"/>
        <rFont val="Consolas"/>
        <charset val="1"/>
      </rPr>
      <t>int not null</t>
    </r>
  </si>
  <si>
    <r>
      <rPr>
        <sz val="9"/>
        <color rgb="FF5C6B82"/>
        <rFont val="Noto Sans CJK SC"/>
        <family val="2"/>
      </rPr>
      <t>↑主キーを</t>
    </r>
    <r>
      <rPr>
        <sz val="9"/>
        <color rgb="FF5C6B82"/>
        <rFont val="Meiryo"/>
        <charset val="1"/>
      </rPr>
      <t>2</t>
    </r>
    <r>
      <rPr>
        <sz val="9"/>
        <color rgb="FF5C6B82"/>
        <rFont val="Noto Sans CJK SC"/>
        <family val="2"/>
      </rPr>
      <t>列以上選んだときだけ、右に「</t>
    </r>
    <r>
      <rPr>
        <sz val="9"/>
        <color rgb="FF5C6B82"/>
        <rFont val="Meiryo"/>
        <charset val="1"/>
      </rPr>
      <t>PRIMARY KEY (</t>
    </r>
    <r>
      <rPr>
        <sz val="9"/>
        <color rgb="FF5C6B82"/>
        <rFont val="Noto Sans CJK SC"/>
        <family val="2"/>
      </rPr>
      <t>列</t>
    </r>
    <r>
      <rPr>
        <sz val="9"/>
        <color rgb="FF5C6B82"/>
        <rFont val="Meiryo"/>
        <charset val="1"/>
      </rPr>
      <t xml:space="preserve">, </t>
    </r>
    <r>
      <rPr>
        <sz val="9"/>
        <color rgb="FF5C6B82"/>
        <rFont val="Noto Sans CJK SC"/>
        <family val="2"/>
      </rPr>
      <t>列</t>
    </r>
    <r>
      <rPr>
        <sz val="9"/>
        <color rgb="FF5C6B82"/>
        <rFont val="Meiryo"/>
        <charset val="1"/>
      </rPr>
      <t>)</t>
    </r>
    <r>
      <rPr>
        <sz val="9"/>
        <color rgb="FF5C6B82"/>
        <rFont val="Noto Sans CJK SC"/>
        <family val="2"/>
      </rPr>
      <t>」を書く</t>
    </r>
  </si>
  <si>
    <t>);</t>
  </si>
  <si>
    <r>
      <rPr>
        <b/>
        <sz val="9.5"/>
        <color rgb="FF2E9E5B"/>
        <rFont val="Noto Sans CJK SC"/>
        <family val="2"/>
      </rPr>
      <t>テーブル</t>
    </r>
    <r>
      <rPr>
        <b/>
        <sz val="9.5"/>
        <color rgb="FF2E9E5B"/>
        <rFont val="Meiryo"/>
        <charset val="1"/>
      </rPr>
      <t>1</t>
    </r>
    <r>
      <rPr>
        <b/>
        <sz val="9.5"/>
        <color rgb="FF2E9E5B"/>
        <rFont val="Noto Sans CJK SC"/>
        <family val="2"/>
      </rPr>
      <t>（親テーブルから先に書く）</t>
    </r>
  </si>
  <si>
    <r>
      <rPr>
        <b/>
        <sz val="10"/>
        <color rgb="FF222222"/>
        <rFont val="Noto Sans CJK SC"/>
        <family val="2"/>
      </rPr>
      <t>テーブル</t>
    </r>
    <r>
      <rPr>
        <b/>
        <sz val="10"/>
        <color rgb="FF222222"/>
        <rFont val="Meiryo"/>
        <charset val="1"/>
      </rPr>
      <t>1</t>
    </r>
  </si>
  <si>
    <r>
      <rPr>
        <b/>
        <sz val="9.5"/>
        <color rgb="FF2E9E5B"/>
        <rFont val="Noto Sans CJK SC"/>
        <family val="2"/>
      </rPr>
      <t>テーブル</t>
    </r>
    <r>
      <rPr>
        <b/>
        <sz val="9.5"/>
        <color rgb="FF2E9E5B"/>
        <rFont val="Meiryo"/>
        <charset val="1"/>
      </rPr>
      <t>2</t>
    </r>
  </si>
  <si>
    <r>
      <rPr>
        <b/>
        <sz val="10"/>
        <color rgb="FF222222"/>
        <rFont val="Noto Sans CJK SC"/>
        <family val="2"/>
      </rPr>
      <t>テーブル</t>
    </r>
    <r>
      <rPr>
        <b/>
        <sz val="10"/>
        <color rgb="FF222222"/>
        <rFont val="Meiryo"/>
        <charset val="1"/>
      </rPr>
      <t>2</t>
    </r>
  </si>
  <si>
    <r>
      <rPr>
        <b/>
        <sz val="9.5"/>
        <color rgb="FF2E9E5B"/>
        <rFont val="Noto Sans CJK SC"/>
        <family val="2"/>
      </rPr>
      <t>テーブル</t>
    </r>
    <r>
      <rPr>
        <b/>
        <sz val="9.5"/>
        <color rgb="FF2E9E5B"/>
        <rFont val="Meiryo"/>
        <charset val="1"/>
      </rPr>
      <t>3</t>
    </r>
    <r>
      <rPr>
        <b/>
        <sz val="9.5"/>
        <color rgb="FF2E9E5B"/>
        <rFont val="Noto Sans CJK SC"/>
        <family val="2"/>
      </rPr>
      <t>（外部キーを持つ子テーブルは後で）</t>
    </r>
  </si>
  <si>
    <r>
      <rPr>
        <b/>
        <sz val="10"/>
        <color rgb="FF222222"/>
        <rFont val="Noto Sans CJK SC"/>
        <family val="2"/>
      </rPr>
      <t>テーブル</t>
    </r>
    <r>
      <rPr>
        <b/>
        <sz val="10"/>
        <color rgb="FF222222"/>
        <rFont val="Meiryo"/>
        <charset val="1"/>
      </rPr>
      <t>3</t>
    </r>
  </si>
  <si>
    <r>
      <rPr>
        <sz val="9.5"/>
        <color rgb="FF5C6B82"/>
        <rFont val="Noto Sans CJK SC"/>
        <family val="2"/>
      </rPr>
      <t xml:space="preserve">書き方：最後の列の行だけカンマなし／外部キーは </t>
    </r>
    <r>
      <rPr>
        <sz val="9.5"/>
        <color rgb="FF5C6B82"/>
        <rFont val="Meiryo"/>
        <charset val="1"/>
      </rPr>
      <t xml:space="preserve">REFERENCES </t>
    </r>
    <r>
      <rPr>
        <sz val="9.5"/>
        <color rgb="FF5C6B82"/>
        <rFont val="Noto Sans CJK SC"/>
        <family val="2"/>
      </rPr>
      <t>親</t>
    </r>
    <r>
      <rPr>
        <sz val="9.5"/>
        <color rgb="FF5C6B82"/>
        <rFont val="Meiryo"/>
        <charset val="1"/>
      </rPr>
      <t>(</t>
    </r>
    <r>
      <rPr>
        <sz val="9.5"/>
        <color rgb="FF5C6B82"/>
        <rFont val="Noto Sans CJK SC"/>
        <family val="2"/>
      </rPr>
      <t>親の主キー</t>
    </r>
    <r>
      <rPr>
        <sz val="9.5"/>
        <color rgb="FF5C6B82"/>
        <rFont val="Meiryo"/>
        <charset val="1"/>
      </rPr>
      <t>)</t>
    </r>
    <r>
      <rPr>
        <sz val="9.5"/>
        <color rgb="FF5C6B82"/>
        <rFont val="Noto Sans CJK SC"/>
        <family val="2"/>
      </rPr>
      <t xml:space="preserve">／日本語の列は </t>
    </r>
    <r>
      <rPr>
        <sz val="9.5"/>
        <color rgb="FF5C6B82"/>
        <rFont val="Meiryo"/>
        <charset val="1"/>
      </rPr>
      <t>NVARCHAR</t>
    </r>
    <r>
      <rPr>
        <sz val="9.5"/>
        <color rgb="FF5C6B82"/>
        <rFont val="Noto Sans CJK SC"/>
        <family val="2"/>
      </rPr>
      <t xml:space="preserve">／○になった行を上から順に </t>
    </r>
    <r>
      <rPr>
        <sz val="9.5"/>
        <color rgb="FF5C6B82"/>
        <rFont val="Meiryo"/>
        <charset val="1"/>
      </rPr>
      <t xml:space="preserve">schema.sql </t>
    </r>
    <r>
      <rPr>
        <sz val="9.5"/>
        <color rgb="FF5C6B82"/>
        <rFont val="Noto Sans CJK SC"/>
        <family val="2"/>
      </rPr>
      <t>へ。中間テーブルのように主キーが</t>
    </r>
    <r>
      <rPr>
        <sz val="9.5"/>
        <color rgb="FF5C6B82"/>
        <rFont val="Meiryo"/>
        <charset val="1"/>
      </rPr>
      <t>2</t>
    </r>
    <r>
      <rPr>
        <sz val="9.5"/>
        <color rgb="FF5C6B82"/>
        <rFont val="Noto Sans CJK SC"/>
        <family val="2"/>
      </rPr>
      <t xml:space="preserve">列のときは、両方に </t>
    </r>
    <r>
      <rPr>
        <sz val="9.5"/>
        <color rgb="FF5C6B82"/>
        <rFont val="Meiryo"/>
        <charset val="1"/>
      </rPr>
      <t>PK</t>
    </r>
    <r>
      <rPr>
        <sz val="9.5"/>
        <color rgb="FF5C6B82"/>
        <rFont val="Noto Sans CJK SC"/>
        <family val="2"/>
      </rPr>
      <t xml:space="preserve">（外部キーも兼ねるなら </t>
    </r>
    <r>
      <rPr>
        <sz val="9.5"/>
        <color rgb="FF5C6B82"/>
        <rFont val="Meiryo"/>
        <charset val="1"/>
      </rPr>
      <t>PK</t>
    </r>
    <r>
      <rPr>
        <sz val="9.5"/>
        <color rgb="FF5C6B82"/>
        <rFont val="Noto Sans CJK SC"/>
        <family val="2"/>
      </rPr>
      <t>＋</t>
    </r>
    <r>
      <rPr>
        <sz val="9.5"/>
        <color rgb="FF5C6B82"/>
        <rFont val="Meiryo"/>
        <charset val="1"/>
      </rPr>
      <t>FK</t>
    </r>
    <r>
      <rPr>
        <sz val="9.5"/>
        <color rgb="FF5C6B82"/>
        <rFont val="Noto Sans CJK SC"/>
        <family val="2"/>
      </rPr>
      <t>）を選ぶ。</t>
    </r>
    <r>
      <rPr>
        <sz val="9.5"/>
        <color rgb="FF5C6B82"/>
        <rFont val="Meiryo"/>
        <charset val="1"/>
      </rPr>
      <t>4</t>
    </r>
    <r>
      <rPr>
        <sz val="9.5"/>
        <color rgb="FF5C6B82"/>
        <rFont val="Noto Sans CJK SC"/>
        <family val="2"/>
      </rPr>
      <t>つ以上テーブルがある人は、このシートをコピーして使う。</t>
    </r>
  </si>
  <si>
    <r>
      <rPr>
        <b/>
        <sz val="15"/>
        <color rgb="FF9A6700"/>
        <rFont val="Meiryo"/>
        <charset val="1"/>
      </rPr>
      <t>③ AI</t>
    </r>
    <r>
      <rPr>
        <b/>
        <sz val="15"/>
        <color rgb="FF9A6700"/>
        <rFont val="Noto Sans CJK SC"/>
        <family val="2"/>
      </rPr>
      <t>の提案を、自分で決める（演習</t>
    </r>
    <r>
      <rPr>
        <b/>
        <sz val="15"/>
        <color rgb="FF9A6700"/>
        <rFont val="Meiryo"/>
        <charset val="1"/>
      </rPr>
      <t>3</t>
    </r>
    <r>
      <rPr>
        <b/>
        <sz val="15"/>
        <color rgb="FF9A6700"/>
        <rFont val="Noto Sans CJK SC"/>
        <family val="2"/>
      </rPr>
      <t>）</t>
    </r>
  </si>
  <si>
    <r>
      <rPr>
        <sz val="9.5"/>
        <color rgb="FF5C6B82"/>
        <rFont val="Meiryo"/>
        <charset val="1"/>
      </rPr>
      <t xml:space="preserve">Codex </t>
    </r>
    <r>
      <rPr>
        <sz val="9.5"/>
        <color rgb="FF5C6B82"/>
        <rFont val="Noto Sans CJK SC"/>
        <family val="2"/>
      </rPr>
      <t>は「提案」まで。決めるのは自分。理由を説明できれば、採用でも不採用でも評価されます。</t>
    </r>
  </si>
  <si>
    <r>
      <rPr>
        <b/>
        <sz val="11.5"/>
        <color rgb="FF9A6700"/>
        <rFont val="Meiryo"/>
        <charset val="1"/>
      </rPr>
      <t xml:space="preserve">1. </t>
    </r>
    <r>
      <rPr>
        <b/>
        <sz val="11.5"/>
        <color rgb="FF9A6700"/>
        <rFont val="Noto Sans CJK SC"/>
        <family val="2"/>
      </rPr>
      <t>指示① の設計レビューと、自分の判断</t>
    </r>
  </si>
  <si>
    <r>
      <rPr>
        <b/>
        <sz val="10"/>
        <color rgb="FFFFFFFF"/>
        <rFont val="Meiryo"/>
        <charset val="1"/>
      </rPr>
      <t xml:space="preserve">Codex </t>
    </r>
    <r>
      <rPr>
        <b/>
        <sz val="10"/>
        <color rgb="FFFFFFFF"/>
        <rFont val="Noto Sans CJK SC"/>
        <family val="2"/>
      </rPr>
      <t>の提案（短く）</t>
    </r>
  </si>
  <si>
    <t>採用？</t>
  </si>
  <si>
    <r>
      <rPr>
        <b/>
        <sz val="10"/>
        <color rgb="FFFFFFFF"/>
        <rFont val="Noto Sans CJK SC"/>
        <family val="2"/>
      </rPr>
      <t>理由（「</t>
    </r>
    <r>
      <rPr>
        <b/>
        <sz val="10"/>
        <color rgb="FFFFFFFF"/>
        <rFont val="Meiryo"/>
        <charset val="1"/>
      </rPr>
      <t>AI</t>
    </r>
    <r>
      <rPr>
        <b/>
        <sz val="10"/>
        <color rgb="FFFFFFFF"/>
        <rFont val="Noto Sans CJK SC"/>
        <family val="2"/>
      </rPr>
      <t>が言ったから」は理由になりません）</t>
    </r>
  </si>
  <si>
    <r>
      <rPr>
        <sz val="10"/>
        <color rgb="FF5C6B82"/>
        <rFont val="Noto Sans CJK SC"/>
        <family val="2"/>
      </rPr>
      <t xml:space="preserve">「名前」に </t>
    </r>
    <r>
      <rPr>
        <sz val="10"/>
        <color rgb="FF5C6B82"/>
        <rFont val="Meiryo"/>
        <charset val="1"/>
      </rPr>
      <t xml:space="preserve">UNIQUE </t>
    </r>
    <r>
      <rPr>
        <sz val="10"/>
        <color rgb="FF5C6B82"/>
        <rFont val="Noto Sans CJK SC"/>
        <family val="2"/>
      </rPr>
      <t>を付けると重複を防げる</t>
    </r>
  </si>
  <si>
    <t>不採用</t>
  </si>
  <si>
    <r>
      <rPr>
        <sz val="10"/>
        <color rgb="FF5C6B82"/>
        <rFont val="Noto Sans CJK SC"/>
        <family val="2"/>
      </rPr>
      <t>同姓同名がありうる。だから主キーを部員</t>
    </r>
    <r>
      <rPr>
        <sz val="10"/>
        <color rgb="FF5C6B82"/>
        <rFont val="Meiryo"/>
        <charset val="1"/>
      </rPr>
      <t>ID</t>
    </r>
    <r>
      <rPr>
        <sz val="10"/>
        <color rgb="FF5C6B82"/>
        <rFont val="Noto Sans CJK SC"/>
        <family val="2"/>
      </rPr>
      <t>にした</t>
    </r>
  </si>
  <si>
    <t>未記入</t>
  </si>
  <si>
    <r>
      <rPr>
        <sz val="9.5"/>
        <color rgb="FF5C6B82"/>
        <rFont val="Noto Sans CJK SC"/>
        <family val="2"/>
      </rPr>
      <t>採用したら：</t>
    </r>
    <r>
      <rPr>
        <sz val="9.5"/>
        <color rgb="FF5C6B82"/>
        <rFont val="Meiryo"/>
        <charset val="1"/>
      </rPr>
      <t xml:space="preserve">schema.sql </t>
    </r>
    <r>
      <rPr>
        <sz val="9.5"/>
        <color rgb="FF5C6B82"/>
        <rFont val="Noto Sans CJK SC"/>
        <family val="2"/>
      </rPr>
      <t>を「自分で」直す →「</t>
    </r>
    <r>
      <rPr>
        <sz val="9.5"/>
        <color rgb="FF5C6B82"/>
        <rFont val="Meiryo"/>
        <charset val="1"/>
      </rPr>
      <t>SQL</t>
    </r>
    <r>
      <rPr>
        <sz val="9.5"/>
        <color rgb="FF5C6B82"/>
        <rFont val="Noto Sans CJK SC"/>
        <family val="2"/>
      </rPr>
      <t>翻訳」シートも直す → ハンズオン</t>
    </r>
    <r>
      <rPr>
        <sz val="9.5"/>
        <color rgb="FF5C6B82"/>
        <rFont val="Meiryo"/>
        <charset val="1"/>
      </rPr>
      <t>SQL STEP 6</t>
    </r>
    <r>
      <rPr>
        <sz val="9.5"/>
        <color rgb="FF5C6B82"/>
        <rFont val="Noto Sans CJK SC"/>
        <family val="2"/>
      </rPr>
      <t xml:space="preserve">（作り直し）→ </t>
    </r>
    <r>
      <rPr>
        <sz val="9.5"/>
        <color rgb="FF5C6B82"/>
        <rFont val="Meiryo"/>
        <charset val="1"/>
      </rPr>
      <t>STEP 3</t>
    </r>
    <r>
      <rPr>
        <sz val="9.5"/>
        <color rgb="FF5C6B82"/>
        <rFont val="Noto Sans CJK SC"/>
        <family val="2"/>
      </rPr>
      <t>〜</t>
    </r>
    <r>
      <rPr>
        <sz val="9.5"/>
        <color rgb="FF5C6B82"/>
        <rFont val="Meiryo"/>
        <charset val="1"/>
      </rPr>
      <t>5</t>
    </r>
  </si>
  <si>
    <r>
      <rPr>
        <b/>
        <sz val="11.5"/>
        <color rgb="FF9A6700"/>
        <rFont val="Meiryo"/>
        <charset val="1"/>
      </rPr>
      <t xml:space="preserve">2. </t>
    </r>
    <r>
      <rPr>
        <b/>
        <sz val="11.5"/>
        <color rgb="FF9A6700"/>
        <rFont val="Noto Sans CJK SC"/>
        <family val="2"/>
      </rPr>
      <t>最小アプリ（指示②・③）</t>
    </r>
  </si>
  <si>
    <t>項目</t>
  </si>
  <si>
    <t>記入</t>
  </si>
  <si>
    <t>表示したテーブル</t>
  </si>
  <si>
    <r>
      <rPr>
        <b/>
        <sz val="10"/>
        <color rgb="FF1E2A47"/>
        <rFont val="Noto Sans CJK SC"/>
        <family val="2"/>
      </rPr>
      <t xml:space="preserve">表の見出しは </t>
    </r>
    <r>
      <rPr>
        <b/>
        <sz val="10"/>
        <color rgb="FF1E2A47"/>
        <rFont val="Meiryo"/>
        <charset val="1"/>
      </rPr>
      <t xml:space="preserve">schema.sql </t>
    </r>
    <r>
      <rPr>
        <b/>
        <sz val="10"/>
        <color rgb="FF1E2A47"/>
        <rFont val="Noto Sans CJK SC"/>
        <family val="2"/>
      </rPr>
      <t>の列名と同じ？</t>
    </r>
  </si>
  <si>
    <t>指示③で説明を読んでも分からなかった行（行番号と、何が分からないか）</t>
  </si>
  <si>
    <r>
      <rPr>
        <b/>
        <sz val="10"/>
        <color rgb="FF1E2A47"/>
        <rFont val="Meiryo"/>
        <charset val="1"/>
      </rPr>
      <t xml:space="preserve">Codex </t>
    </r>
    <r>
      <rPr>
        <b/>
        <sz val="10"/>
        <color rgb="FF1E2A47"/>
        <rFont val="Noto Sans CJK SC"/>
        <family val="2"/>
      </rPr>
      <t xml:space="preserve">が </t>
    </r>
    <r>
      <rPr>
        <b/>
        <sz val="10"/>
        <color rgb="FF1E2A47"/>
        <rFont val="Meiryo"/>
        <charset val="1"/>
      </rPr>
      <t>Node.js</t>
    </r>
    <r>
      <rPr>
        <b/>
        <sz val="10"/>
        <color rgb="FF1E2A47"/>
        <rFont val="Noto Sans CJK SC"/>
        <family val="2"/>
      </rPr>
      <t>／</t>
    </r>
    <r>
      <rPr>
        <b/>
        <sz val="10"/>
        <color rgb="FF1E2A47"/>
        <rFont val="Meiryo"/>
        <charset val="1"/>
      </rPr>
      <t>npm</t>
    </r>
    <r>
      <rPr>
        <b/>
        <sz val="10"/>
        <color rgb="FF1E2A47"/>
        <rFont val="Noto Sans CJK SC"/>
        <family val="2"/>
      </rPr>
      <t>／サーバーを提案してきた？</t>
    </r>
  </si>
  <si>
    <r>
      <rPr>
        <sz val="9.5"/>
        <color rgb="FF9A6700"/>
        <rFont val="Meiryo"/>
        <charset val="1"/>
      </rPr>
      <t xml:space="preserve">Node.js </t>
    </r>
    <r>
      <rPr>
        <sz val="9.5"/>
        <color rgb="FF9A6700"/>
        <rFont val="Noto Sans CJK SC"/>
        <family val="2"/>
      </rPr>
      <t>は使いません。学校の</t>
    </r>
    <r>
      <rPr>
        <sz val="9.5"/>
        <color rgb="FF9A6700"/>
        <rFont val="Meiryo"/>
        <charset val="1"/>
      </rPr>
      <t>PC</t>
    </r>
    <r>
      <rPr>
        <sz val="9.5"/>
        <color rgb="FF9A6700"/>
        <rFont val="Noto Sans CJK SC"/>
        <family val="2"/>
      </rPr>
      <t xml:space="preserve">には入らないので、アプリは </t>
    </r>
    <r>
      <rPr>
        <sz val="9.5"/>
        <color rgb="FF9A6700"/>
        <rFont val="Meiryo"/>
        <charset val="1"/>
      </rPr>
      <t xml:space="preserve">index.html </t>
    </r>
    <r>
      <rPr>
        <sz val="9.5"/>
        <color rgb="FF9A6700"/>
        <rFont val="Noto Sans CJK SC"/>
        <family val="2"/>
      </rPr>
      <t>をダブルクリックするだけで動く形にしています（</t>
    </r>
    <r>
      <rPr>
        <sz val="9.5"/>
        <color rgb="FF9A6700"/>
        <rFont val="Meiryo"/>
        <charset val="1"/>
      </rPr>
      <t xml:space="preserve">AGENTS.md </t>
    </r>
    <r>
      <rPr>
        <sz val="9.5"/>
        <color rgb="FF9A6700"/>
        <rFont val="Noto Sans CJK SC"/>
        <family val="2"/>
      </rPr>
      <t xml:space="preserve">に書いてあります）。「そのまま進めた」人は、ソース管理で </t>
    </r>
    <r>
      <rPr>
        <sz val="9.5"/>
        <color rgb="FF9A6700"/>
        <rFont val="Meiryo"/>
        <charset val="1"/>
      </rPr>
      <t xml:space="preserve">package.json </t>
    </r>
    <r>
      <rPr>
        <sz val="9.5"/>
        <color rgb="FF9A6700"/>
        <rFont val="Noto Sans CJK SC"/>
        <family val="2"/>
      </rPr>
      <t>などが増えていないか確認。</t>
    </r>
  </si>
  <si>
    <t>④ ふりかえり と 同期の儀式</t>
  </si>
  <si>
    <t>今日から毎回：始める前に「同期」、終わったら「コミット → 同期」。</t>
  </si>
  <si>
    <r>
      <rPr>
        <b/>
        <sz val="11.5"/>
        <color rgb="FFC0392B"/>
        <rFont val="Meiryo"/>
        <charset val="1"/>
      </rPr>
      <t xml:space="preserve">1. </t>
    </r>
    <r>
      <rPr>
        <b/>
        <sz val="11.5"/>
        <color rgb="FFC0392B"/>
        <rFont val="Noto Sans CJK SC"/>
        <family val="2"/>
      </rPr>
      <t>今日のふりかえり</t>
    </r>
  </si>
  <si>
    <t>どこまで行けた？（自動）</t>
  </si>
  <si>
    <r>
      <rPr>
        <b/>
        <sz val="10"/>
        <color rgb="FF222222"/>
        <rFont val="Noto Sans CJK SC"/>
        <family val="2"/>
      </rPr>
      <t>今日使った</t>
    </r>
    <r>
      <rPr>
        <b/>
        <sz val="10"/>
        <color rgb="FF222222"/>
        <rFont val="Meiryo"/>
        <charset val="1"/>
      </rPr>
      <t>PC</t>
    </r>
  </si>
  <si>
    <t>設計で一番迷ったところ</t>
  </si>
  <si>
    <r>
      <rPr>
        <b/>
        <sz val="10"/>
        <color rgb="FF222222"/>
        <rFont val="Meiryo"/>
        <charset val="1"/>
      </rPr>
      <t>AI</t>
    </r>
    <r>
      <rPr>
        <b/>
        <sz val="10"/>
        <color rgb="FF222222"/>
        <rFont val="Noto Sans CJK SC"/>
        <family val="2"/>
      </rPr>
      <t>に任せたところ（</t>
    </r>
    <r>
      <rPr>
        <b/>
        <sz val="10"/>
        <color rgb="FF222222"/>
        <rFont val="Meiryo"/>
        <charset val="1"/>
      </rPr>
      <t>1</t>
    </r>
    <r>
      <rPr>
        <b/>
        <sz val="10"/>
        <color rgb="FF222222"/>
        <rFont val="Noto Sans CJK SC"/>
        <family val="2"/>
      </rPr>
      <t>つ）</t>
    </r>
  </si>
  <si>
    <r>
      <rPr>
        <b/>
        <sz val="10"/>
        <color rgb="FF222222"/>
        <rFont val="Meiryo"/>
        <charset val="1"/>
      </rPr>
      <t>AI</t>
    </r>
    <r>
      <rPr>
        <b/>
        <sz val="10"/>
        <color rgb="FF222222"/>
        <rFont val="Noto Sans CJK SC"/>
        <family val="2"/>
      </rPr>
      <t>に任せなかったところ（</t>
    </r>
    <r>
      <rPr>
        <b/>
        <sz val="10"/>
        <color rgb="FF222222"/>
        <rFont val="Meiryo"/>
        <charset val="1"/>
      </rPr>
      <t>1</t>
    </r>
    <r>
      <rPr>
        <b/>
        <sz val="10"/>
        <color rgb="FF222222"/>
        <rFont val="Noto Sans CJK SC"/>
        <family val="2"/>
      </rPr>
      <t>つ）と、その理由</t>
    </r>
  </si>
  <si>
    <t>次回までに家でやること</t>
  </si>
  <si>
    <r>
      <rPr>
        <b/>
        <sz val="11.5"/>
        <color rgb="FFC0392B"/>
        <rFont val="Meiryo"/>
        <charset val="1"/>
      </rPr>
      <t xml:space="preserve">2. </t>
    </r>
    <r>
      <rPr>
        <b/>
        <sz val="11.5"/>
        <color rgb="FFC0392B"/>
        <rFont val="Noto Sans CJK SC"/>
        <family val="2"/>
      </rPr>
      <t>同期の儀式（</t>
    </r>
    <r>
      <rPr>
        <b/>
        <sz val="11.5"/>
        <color rgb="FFC0392B"/>
        <rFont val="Meiryo"/>
        <charset val="1"/>
      </rPr>
      <t xml:space="preserve">VS Code </t>
    </r>
    <r>
      <rPr>
        <b/>
        <sz val="11.5"/>
        <color rgb="FFC0392B"/>
        <rFont val="Noto Sans CJK SC"/>
        <family val="2"/>
      </rPr>
      <t>の左「ソース管理」）</t>
    </r>
  </si>
  <si>
    <t>タイミング</t>
  </si>
  <si>
    <t>忘れると…</t>
  </si>
  <si>
    <t>始める前</t>
  </si>
  <si>
    <r>
      <rPr>
        <sz val="10"/>
        <color rgb="FF222222"/>
        <rFont val="Noto Sans CJK SC"/>
        <family val="2"/>
      </rPr>
      <t>「変更の同期」（↓↑）を押す
学校</t>
    </r>
    <r>
      <rPr>
        <sz val="10"/>
        <color rgb="FF222222"/>
        <rFont val="Meiryo"/>
        <charset val="1"/>
      </rPr>
      <t>PC</t>
    </r>
    <r>
      <rPr>
        <sz val="10"/>
        <color rgb="FF222222"/>
        <rFont val="Noto Sans CJK SC"/>
        <family val="2"/>
      </rPr>
      <t>で初めての時は「</t>
    </r>
    <r>
      <rPr>
        <sz val="10"/>
        <color rgb="FF222222"/>
        <rFont val="Meiryo"/>
        <charset val="1"/>
      </rPr>
      <t xml:space="preserve">Git </t>
    </r>
    <r>
      <rPr>
        <sz val="10"/>
        <color rgb="FF222222"/>
        <rFont val="Noto Sans CJK SC"/>
        <family val="2"/>
      </rPr>
      <t>リポジトリのクローン」→ 自分のリポジトリを選ぶ</t>
    </r>
  </si>
  <si>
    <r>
      <rPr>
        <sz val="10"/>
        <color rgb="FF222222"/>
        <rFont val="Noto Sans CJK SC"/>
        <family val="2"/>
      </rPr>
      <t>前の</t>
    </r>
    <r>
      <rPr>
        <sz val="10"/>
        <color rgb="FF222222"/>
        <rFont val="Meiryo"/>
        <charset val="1"/>
      </rPr>
      <t>PC</t>
    </r>
    <r>
      <rPr>
        <sz val="10"/>
        <color rgb="FF222222"/>
        <rFont val="Noto Sans CJK SC"/>
        <family val="2"/>
      </rPr>
      <t>でやった作業が見えない</t>
    </r>
  </si>
  <si>
    <t>終わったら</t>
  </si>
  <si>
    <r>
      <rPr>
        <sz val="10"/>
        <color rgb="FF222222"/>
        <rFont val="Noto Sans CJK SC"/>
        <family val="2"/>
      </rPr>
      <t>メッセージを書く（例：第</t>
    </r>
    <r>
      <rPr>
        <sz val="10"/>
        <color rgb="FF222222"/>
        <rFont val="Meiryo"/>
        <charset val="1"/>
      </rPr>
      <t>17</t>
    </r>
    <r>
      <rPr>
        <sz val="10"/>
        <color rgb="FF222222"/>
        <rFont val="Noto Sans CJK SC"/>
        <family val="2"/>
      </rPr>
      <t xml:space="preserve">回 </t>
    </r>
    <r>
      <rPr>
        <sz val="10"/>
        <color rgb="FF222222"/>
        <rFont val="Meiryo"/>
        <charset val="1"/>
      </rPr>
      <t>CP3</t>
    </r>
    <r>
      <rPr>
        <sz val="10"/>
        <color rgb="FF222222"/>
        <rFont val="Noto Sans CJK SC"/>
        <family val="2"/>
      </rPr>
      <t>まで）→「コミット」→「変更の同期」</t>
    </r>
  </si>
  <si>
    <r>
      <rPr>
        <sz val="10"/>
        <color rgb="FF222222"/>
        <rFont val="Noto Sans CJK SC"/>
        <family val="2"/>
      </rPr>
      <t>次の</t>
    </r>
    <r>
      <rPr>
        <sz val="10"/>
        <color rgb="FF222222"/>
        <rFont val="Meiryo"/>
        <charset val="1"/>
      </rPr>
      <t>PC</t>
    </r>
    <r>
      <rPr>
        <sz val="10"/>
        <color rgb="FF222222"/>
        <rFont val="Noto Sans CJK SC"/>
        <family val="2"/>
      </rPr>
      <t>に作業が届かない</t>
    </r>
  </si>
  <si>
    <r>
      <rPr>
        <b/>
        <sz val="10"/>
        <color rgb="FF1E2A47"/>
        <rFont val="Meiryo"/>
        <charset val="1"/>
      </rPr>
      <t xml:space="preserve">GitHub </t>
    </r>
    <r>
      <rPr>
        <b/>
        <sz val="10"/>
        <color rgb="FF1E2A47"/>
        <rFont val="Noto Sans CJK SC"/>
        <family val="2"/>
      </rPr>
      <t>に送らないもの</t>
    </r>
  </si>
  <si>
    <r>
      <rPr>
        <sz val="10"/>
        <color rgb="FF222222"/>
        <rFont val="Noto Sans CJK SC"/>
        <family val="2"/>
      </rPr>
      <t>パスワード・接続文字列・</t>
    </r>
    <r>
      <rPr>
        <sz val="10"/>
        <color rgb="FF222222"/>
        <rFont val="Meiryo"/>
        <charset val="1"/>
      </rPr>
      <t>API</t>
    </r>
    <r>
      <rPr>
        <sz val="10"/>
        <color rgb="FF222222"/>
        <rFont val="Noto Sans CJK SC"/>
        <family val="2"/>
      </rPr>
      <t>キー。ファイルに書かないのが一番</t>
    </r>
  </si>
  <si>
    <t>世界中から見える場所に漏れることがある</t>
  </si>
  <si>
    <r>
      <rPr>
        <b/>
        <sz val="11.5"/>
        <color rgb="FFC0392B"/>
        <rFont val="Meiryo"/>
        <charset val="1"/>
      </rPr>
      <t xml:space="preserve">3. </t>
    </r>
    <r>
      <rPr>
        <b/>
        <sz val="11.5"/>
        <color rgb="FFC0392B"/>
        <rFont val="Noto Sans CJK SC"/>
        <family val="2"/>
      </rPr>
      <t>作業ログ（</t>
    </r>
    <r>
      <rPr>
        <b/>
        <sz val="11.5"/>
        <color rgb="FFC0392B"/>
        <rFont val="Meiryo"/>
        <charset val="1"/>
      </rPr>
      <t xml:space="preserve">README </t>
    </r>
    <r>
      <rPr>
        <b/>
        <sz val="11.5"/>
        <color rgb="FFC0392B"/>
        <rFont val="Noto Sans CJK SC"/>
        <family val="2"/>
      </rPr>
      <t>の作業ログにも同じことを書く）</t>
    </r>
  </si>
  <si>
    <t>日付</t>
  </si>
  <si>
    <r>
      <rPr>
        <b/>
        <sz val="10"/>
        <color rgb="FFFFFFFF"/>
        <rFont val="Noto Sans CJK SC"/>
        <family val="2"/>
      </rPr>
      <t>使った</t>
    </r>
    <r>
      <rPr>
        <b/>
        <sz val="10"/>
        <color rgb="FFFFFFFF"/>
        <rFont val="Meiryo"/>
        <charset val="1"/>
      </rPr>
      <t>PC</t>
    </r>
  </si>
  <si>
    <t>やったこと</t>
  </si>
  <si>
    <t>10/19</t>
  </si>
  <si>
    <r>
      <rPr>
        <sz val="10"/>
        <color rgb="FF5C6B82"/>
        <rFont val="Noto Sans CJK SC"/>
        <family val="2"/>
      </rPr>
      <t>学校</t>
    </r>
    <r>
      <rPr>
        <sz val="10"/>
        <color rgb="FF5C6B82"/>
        <rFont val="Meiryo"/>
        <charset val="1"/>
      </rPr>
      <t>PC</t>
    </r>
  </si>
  <si>
    <r>
      <rPr>
        <sz val="10"/>
        <color rgb="FF5C6B82"/>
        <rFont val="Meiryo"/>
        <charset val="1"/>
      </rPr>
      <t>Codex</t>
    </r>
    <r>
      <rPr>
        <sz val="10"/>
        <color rgb="FF5C6B82"/>
        <rFont val="Noto Sans CJK SC"/>
        <family val="2"/>
      </rPr>
      <t>サインイン、要件定義シート（テーブル設計）</t>
    </r>
  </si>
  <si>
    <t>10/26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</si>
</sst>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charset val="1"/>
    </font>
    <font>
      <b/>
      <sz val="15"/>
      <color rgb="FF0078D4"/>
      <name val="Noto Sans CJK SC"/>
      <family val="2"/>
    </font>
    <font>
      <b/>
      <sz val="15"/>
      <color rgb="FF0078D4"/>
      <name val="Meiryo"/>
      <charset val="1"/>
    </font>
    <font>
      <sz val="9.5"/>
      <color rgb="FF5C6B82"/>
      <name val="Noto Sans CJK SC"/>
      <family val="2"/>
    </font>
    <font>
      <sz val="9.5"/>
      <color rgb="FF5C6B82"/>
      <name val="Meiryo"/>
      <charset val="1"/>
    </font>
    <font>
      <b/>
      <sz val="10"/>
      <color rgb="FF222222"/>
      <name val="Noto Sans CJK SC"/>
      <family val="2"/>
    </font>
    <font>
      <sz val="10"/>
      <color rgb="FF222222"/>
      <name val="Meiryo"/>
      <charset val="1"/>
    </font>
    <font>
      <b/>
      <sz val="11.5"/>
      <color rgb="FF0078D4"/>
      <name val="Noto Sans CJK SC"/>
      <family val="2"/>
    </font>
    <font>
      <b/>
      <sz val="10"/>
      <color rgb="FFFFFFFF"/>
      <name val="Noto Sans CJK SC"/>
      <family val="2"/>
    </font>
    <font>
      <sz val="10"/>
      <color rgb="FF222222"/>
      <name val="Noto Sans CJK SC"/>
      <family val="2"/>
    </font>
    <font>
      <b/>
      <sz val="10"/>
      <color rgb="FF1E2A47"/>
      <name val="Meiryo"/>
      <charset val="1"/>
    </font>
    <font>
      <b/>
      <sz val="10"/>
      <color rgb="FF1E2A47"/>
      <name val="Noto Sans CJK SC"/>
      <family val="2"/>
    </font>
    <font>
      <b/>
      <sz val="11.5"/>
      <color rgb="FFC0392B"/>
      <name val="Noto Sans CJK SC"/>
      <family val="2"/>
    </font>
    <font>
      <b/>
      <sz val="10"/>
      <color rgb="FFFFFFFF"/>
      <name val="Meiryo"/>
      <charset val="1"/>
    </font>
    <font>
      <b/>
      <sz val="10"/>
      <color rgb="FF0078D4"/>
      <name val="Meiryo"/>
      <charset val="1"/>
    </font>
    <font>
      <b/>
      <sz val="10"/>
      <color rgb="FF2E9E5B"/>
      <name val="Meiryo"/>
      <charset val="1"/>
    </font>
    <font>
      <b/>
      <sz val="10"/>
      <color rgb="FF9A6700"/>
      <name val="Meiryo"/>
      <charset val="1"/>
    </font>
    <font>
      <b/>
      <sz val="10"/>
      <color rgb="FFC0392B"/>
      <name val="Meiryo"/>
      <charset val="1"/>
    </font>
    <font>
      <b/>
      <sz val="11.5"/>
      <color rgb="FF2E9E5B"/>
      <name val="Noto Sans CJK SC"/>
      <family val="2"/>
    </font>
    <font>
      <b/>
      <sz val="11.5"/>
      <color rgb="FF2E9E5B"/>
      <name val="Meiryo"/>
      <charset val="1"/>
    </font>
    <font>
      <sz val="10"/>
      <color rgb="FF5C6B82"/>
      <name val="Noto Sans CJK SC"/>
      <family val="2"/>
    </font>
    <font>
      <sz val="10"/>
      <color rgb="FF5C6B82"/>
      <name val="Meiryo"/>
      <charset val="1"/>
    </font>
    <font>
      <sz val="9.5"/>
      <color rgb="FF9A6700"/>
      <name val="Noto Sans CJK SC"/>
      <family val="2"/>
    </font>
    <font>
      <sz val="9.5"/>
      <color rgb="FF9A6700"/>
      <name val="Meiryo"/>
      <charset val="1"/>
    </font>
    <font>
      <b/>
      <sz val="15"/>
      <color rgb="FF2E9E5B"/>
      <name val="Noto Sans CJK SC"/>
      <family val="2"/>
    </font>
    <font>
      <b/>
      <sz val="15"/>
      <color rgb="FF2E9E5B"/>
      <name val="Meiryo"/>
      <charset val="1"/>
    </font>
    <font>
      <b/>
      <sz val="9.5"/>
      <color rgb="FF5C6B82"/>
      <name val="Noto Sans CJK SC"/>
      <family val="2"/>
    </font>
    <font>
      <b/>
      <sz val="9.5"/>
      <color rgb="FF5C6B82"/>
      <name val="Meiryo"/>
      <charset val="1"/>
    </font>
    <font>
      <b/>
      <sz val="10"/>
      <color rgb="FF5C6B82"/>
      <name val="Noto Sans CJK SC"/>
      <family val="2"/>
    </font>
    <font>
      <sz val="10"/>
      <color rgb="FF1E2A47"/>
      <name val="Consolas"/>
      <charset val="1"/>
    </font>
    <font>
      <sz val="10"/>
      <color rgb="FF5C6B82"/>
      <name val="Consolas"/>
      <charset val="1"/>
    </font>
    <font>
      <b/>
      <sz val="12"/>
      <color rgb="FF222222"/>
      <name val="Meiryo"/>
      <charset val="1"/>
    </font>
    <font>
      <sz val="9"/>
      <color rgb="FF5C6B82"/>
      <name val="Noto Sans CJK SC"/>
      <family val="2"/>
    </font>
    <font>
      <sz val="9"/>
      <color rgb="FF5C6B82"/>
      <name val="Meiryo"/>
      <charset val="1"/>
    </font>
    <font>
      <sz val="10"/>
      <color rgb="FF222222"/>
      <name val="Consolas"/>
      <charset val="1"/>
    </font>
    <font>
      <b/>
      <sz val="9"/>
      <color rgb="FFC0392B"/>
      <name val="Meiryo"/>
      <charset val="1"/>
    </font>
    <font>
      <b/>
      <sz val="9.5"/>
      <color rgb="FF2E9E5B"/>
      <name val="Noto Sans CJK SC"/>
      <family val="2"/>
    </font>
    <font>
      <b/>
      <sz val="9.5"/>
      <color rgb="FF2E9E5B"/>
      <name val="Meiryo"/>
      <charset val="1"/>
    </font>
    <font>
      <b/>
      <sz val="10"/>
      <color rgb="FF222222"/>
      <name val="Meiryo"/>
      <charset val="1"/>
    </font>
    <font>
      <b/>
      <sz val="15"/>
      <color rgb="FF9A6700"/>
      <name val="Meiryo"/>
      <charset val="1"/>
    </font>
    <font>
      <b/>
      <sz val="15"/>
      <color rgb="FF9A6700"/>
      <name val="Noto Sans CJK SC"/>
      <family val="2"/>
    </font>
    <font>
      <b/>
      <sz val="11.5"/>
      <color rgb="FF9A6700"/>
      <name val="Meiryo"/>
      <charset val="1"/>
    </font>
    <font>
      <b/>
      <sz val="11.5"/>
      <color rgb="FF9A6700"/>
      <name val="Noto Sans CJK SC"/>
      <family val="2"/>
    </font>
    <font>
      <b/>
      <sz val="15"/>
      <color rgb="FFC0392B"/>
      <name val="Noto Sans CJK SC"/>
      <family val="2"/>
    </font>
    <font>
      <b/>
      <sz val="11.5"/>
      <color rgb="FFC0392B"/>
      <name val="Meiryo"/>
      <charset val="1"/>
    </font>
  </fonts>
  <fills count="10">
    <fill>
      <patternFill patternType="none"/>
    </fill>
    <fill>
      <patternFill patternType="gray125"/>
    </fill>
    <fill>
      <patternFill patternType="solid">
        <fgColor rgb="FFF3F6FA"/>
        <bgColor rgb="FFEDEFF2"/>
      </patternFill>
    </fill>
    <fill>
      <patternFill patternType="solid">
        <fgColor rgb="FFFFF9DB"/>
        <bgColor rgb="FFF3F6FA"/>
      </patternFill>
    </fill>
    <fill>
      <patternFill patternType="solid">
        <fgColor rgb="FF0078D4"/>
        <bgColor rgb="FF008080"/>
      </patternFill>
    </fill>
    <fill>
      <patternFill patternType="solid">
        <fgColor rgb="FFEDEFF2"/>
        <bgColor rgb="FFF3F6FA"/>
      </patternFill>
    </fill>
    <fill>
      <patternFill patternType="solid">
        <fgColor rgb="FFC0392B"/>
        <bgColor rgb="FF993366"/>
      </patternFill>
    </fill>
    <fill>
      <patternFill patternType="solid">
        <fgColor rgb="FF2E9E5B"/>
        <bgColor rgb="FF008080"/>
      </patternFill>
    </fill>
    <fill>
      <patternFill patternType="solid">
        <fgColor rgb="FF9A6700"/>
        <bgColor rgb="FFC0392B"/>
      </patternFill>
    </fill>
    <fill>
      <patternFill patternType="solid">
        <fgColor rgb="FF5C6B82"/>
        <bgColor rgb="FF808080"/>
      </patternFill>
    </fill>
  </fills>
  <borders count="2">
    <border>
      <left/>
      <right/>
      <top/>
      <bottom/>
      <diagonal/>
    </border>
    <border>
      <left style="thin">
        <color rgb="FFB9C3D3"/>
      </left>
      <right style="thin">
        <color rgb="FFB9C3D3"/>
      </right>
      <top style="thin">
        <color rgb="FFB9C3D3"/>
      </top>
      <bottom style="thin">
        <color rgb="FFB9C3D3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3" fillId="8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vertical="center" wrapText="1"/>
    </xf>
    <xf numFmtId="0" fontId="7" fillId="0" borderId="0" xfId="0" applyFont="1"/>
    <xf numFmtId="0" fontId="6" fillId="5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0" xfId="0" applyFont="1"/>
    <xf numFmtId="0" fontId="4" fillId="0" borderId="0" xfId="0" applyFont="1"/>
    <xf numFmtId="0" fontId="14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8" fillId="0" borderId="0" xfId="0" applyFont="1"/>
    <xf numFmtId="0" fontId="8" fillId="7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4" fillId="0" borderId="0" xfId="0" applyFont="1"/>
    <xf numFmtId="0" fontId="8" fillId="9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34" fillId="5" borderId="1" xfId="0" applyFont="1" applyFill="1" applyBorder="1" applyAlignment="1">
      <alignment vertical="center" wrapText="1"/>
    </xf>
    <xf numFmtId="0" fontId="34" fillId="3" borderId="1" xfId="0" applyFont="1" applyFill="1" applyBorder="1" applyAlignment="1">
      <alignment vertical="center" wrapText="1"/>
    </xf>
    <xf numFmtId="0" fontId="39" fillId="0" borderId="0" xfId="0" applyFont="1"/>
    <xf numFmtId="0" fontId="41" fillId="0" borderId="0" xfId="0" applyFont="1"/>
    <xf numFmtId="0" fontId="8" fillId="8" borderId="1" xfId="0" applyFont="1" applyFill="1" applyBorder="1" applyAlignment="1">
      <alignment vertical="center" wrapText="1"/>
    </xf>
    <xf numFmtId="0" fontId="43" fillId="0" borderId="0" xfId="0" applyFont="1"/>
    <xf numFmtId="0" fontId="44" fillId="0" borderId="0" xfId="0" applyFont="1"/>
    <xf numFmtId="0" fontId="38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top" wrapText="1"/>
    </xf>
    <xf numFmtId="0" fontId="8" fillId="6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13" fillId="6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6" fillId="0" borderId="0" xfId="0" applyFont="1" applyAlignment="1">
      <alignment vertical="top" wrapText="1"/>
    </xf>
    <xf numFmtId="0" fontId="10" fillId="3" borderId="1" xfId="0" applyFont="1" applyFill="1" applyBorder="1" applyAlignment="1">
      <alignment vertical="center" wrapText="1"/>
    </xf>
    <xf numFmtId="0" fontId="23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8" fillId="5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</cellXfs>
  <cellStyles count="1">
    <cellStyle name="標準" xfId="0" builtinId="0"/>
  </cellStyles>
  <dxfs count="9">
    <dxf>
      <font>
        <b/>
        <color rgb="FFC0392B"/>
      </font>
    </dxf>
    <dxf>
      <font>
        <b/>
        <color rgb="FF2E9E5B"/>
      </font>
    </dxf>
    <dxf>
      <font>
        <b/>
        <color rgb="FFC0392B"/>
      </font>
    </dxf>
    <dxf>
      <font>
        <b/>
        <color rgb="FF2E9E5B"/>
      </font>
    </dxf>
    <dxf>
      <font>
        <b/>
        <color rgb="FFC0392B"/>
      </font>
    </dxf>
    <dxf>
      <font>
        <b/>
        <color rgb="FF2E9E5B"/>
      </font>
    </dxf>
    <dxf>
      <font>
        <b/>
        <color rgb="FFC0392B"/>
      </font>
    </dxf>
    <dxf>
      <font>
        <b/>
        <color rgb="FF2E9E5B"/>
      </font>
    </dxf>
    <dxf>
      <font>
        <b/>
        <color rgb="FFC0392B"/>
      </font>
      <fill>
        <patternFill>
          <bgColor rgb="FFF8D7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700"/>
      <rgbColor rgb="FF800080"/>
      <rgbColor rgb="FF008080"/>
      <rgbColor rgb="FFB9C3D3"/>
      <rgbColor rgb="FF808080"/>
      <rgbColor rgb="FF9999FF"/>
      <rgbColor rgb="FF993366"/>
      <rgbColor rgb="FFFFF9DB"/>
      <rgbColor rgb="FFEDEFF2"/>
      <rgbColor rgb="FF660066"/>
      <rgbColor rgb="FFFF8080"/>
      <rgbColor rgb="FF0078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C6B82"/>
      <rgbColor rgb="FF969696"/>
      <rgbColor rgb="FF003366"/>
      <rgbColor rgb="FF2E9E5B"/>
      <rgbColor rgb="FF003300"/>
      <rgbColor rgb="FF222222"/>
      <rgbColor rgb="FFC0392B"/>
      <rgbColor rgb="FF993366"/>
      <rgbColor rgb="FF333399"/>
      <rgbColor rgb="FF1E2A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33"/>
  <sheetViews>
    <sheetView showGridLines="0" tabSelected="1" zoomScaleNormal="100" workbookViewId="0"/>
  </sheetViews>
  <sheetFormatPr defaultColWidth="8.7109375" defaultRowHeight="15"/>
  <cols>
    <col min="1" max="1" width="2" customWidth="1"/>
    <col min="2" max="2" width="22" customWidth="1"/>
    <col min="3" max="3" width="30" customWidth="1"/>
    <col min="4" max="4" width="50" customWidth="1"/>
  </cols>
  <sheetData>
    <row r="1" spans="2:4" ht="30" customHeight="1">
      <c r="B1" s="8" t="s">
        <v>0</v>
      </c>
    </row>
    <row r="2" spans="2:4">
      <c r="B2" s="9" t="s">
        <v>1</v>
      </c>
    </row>
    <row r="4" spans="2:4">
      <c r="B4" s="10" t="s">
        <v>2</v>
      </c>
      <c r="C4" s="49"/>
      <c r="D4" s="49"/>
    </row>
    <row r="5" spans="2:4">
      <c r="B5" s="10" t="s">
        <v>3</v>
      </c>
      <c r="C5" s="49"/>
      <c r="D5" s="49"/>
    </row>
    <row r="7" spans="2:4">
      <c r="B7" s="11" t="s">
        <v>4</v>
      </c>
    </row>
    <row r="8" spans="2:4" ht="21.75" customHeight="1">
      <c r="B8" s="6" t="s">
        <v>5</v>
      </c>
      <c r="C8" s="50" t="s">
        <v>6</v>
      </c>
      <c r="D8" s="50"/>
    </row>
    <row r="9" spans="2:4" ht="15" customHeight="1">
      <c r="B9" s="7"/>
      <c r="C9" s="46" t="s">
        <v>7</v>
      </c>
      <c r="D9" s="46"/>
    </row>
    <row r="10" spans="2:4" ht="15" customHeight="1">
      <c r="B10" s="12"/>
      <c r="C10" s="46" t="s">
        <v>8</v>
      </c>
      <c r="D10" s="46"/>
    </row>
    <row r="11" spans="2:4" ht="15" customHeight="1">
      <c r="B11" s="13"/>
      <c r="C11" s="46" t="s">
        <v>9</v>
      </c>
      <c r="D11" s="46"/>
    </row>
    <row r="13" spans="2:4">
      <c r="B13" s="11" t="s">
        <v>10</v>
      </c>
    </row>
    <row r="14" spans="2:4" ht="21.75" customHeight="1">
      <c r="B14" s="6" t="s">
        <v>11</v>
      </c>
      <c r="C14" s="6" t="s">
        <v>12</v>
      </c>
      <c r="D14" s="6" t="s">
        <v>13</v>
      </c>
    </row>
    <row r="15" spans="2:4" ht="30" customHeight="1">
      <c r="B15" s="14" t="s">
        <v>14</v>
      </c>
      <c r="C15" s="5" t="s">
        <v>15</v>
      </c>
      <c r="D15" s="3" t="s">
        <v>16</v>
      </c>
    </row>
    <row r="16" spans="2:4" ht="30" customHeight="1">
      <c r="B16" s="14" t="s">
        <v>17</v>
      </c>
      <c r="C16" s="5" t="s">
        <v>18</v>
      </c>
      <c r="D16" s="5" t="s">
        <v>19</v>
      </c>
    </row>
    <row r="17" spans="2:4" ht="30" customHeight="1">
      <c r="B17" s="14" t="s">
        <v>20</v>
      </c>
      <c r="C17" s="5" t="s">
        <v>21</v>
      </c>
      <c r="D17" s="3" t="s">
        <v>22</v>
      </c>
    </row>
    <row r="18" spans="2:4" ht="30" customHeight="1">
      <c r="B18" s="15" t="s">
        <v>23</v>
      </c>
      <c r="C18" s="5" t="s">
        <v>24</v>
      </c>
      <c r="D18" s="5" t="s">
        <v>25</v>
      </c>
    </row>
    <row r="20" spans="2:4">
      <c r="B20" s="11" t="s">
        <v>26</v>
      </c>
    </row>
    <row r="21" spans="2:4" ht="19.5" customHeight="1">
      <c r="B21" s="47" t="s">
        <v>27</v>
      </c>
      <c r="C21" s="47"/>
      <c r="D21" s="47"/>
    </row>
    <row r="22" spans="2:4" ht="19.5" customHeight="1">
      <c r="B22" s="47" t="s">
        <v>28</v>
      </c>
      <c r="C22" s="47"/>
      <c r="D22" s="47"/>
    </row>
    <row r="23" spans="2:4" ht="19.5" customHeight="1">
      <c r="B23" s="47" t="s">
        <v>29</v>
      </c>
      <c r="C23" s="47"/>
      <c r="D23" s="47"/>
    </row>
    <row r="25" spans="2:4">
      <c r="B25" s="16" t="s">
        <v>30</v>
      </c>
    </row>
    <row r="26" spans="2:4" ht="21.75" customHeight="1">
      <c r="B26" s="4" t="s">
        <v>31</v>
      </c>
      <c r="C26" s="48" t="s">
        <v>32</v>
      </c>
      <c r="D26" s="48"/>
    </row>
    <row r="27" spans="2:4" ht="30" customHeight="1">
      <c r="B27" s="15" t="s">
        <v>33</v>
      </c>
      <c r="C27" s="45" t="s">
        <v>34</v>
      </c>
      <c r="D27" s="45"/>
    </row>
    <row r="28" spans="2:4" ht="30" customHeight="1">
      <c r="B28" s="15" t="s">
        <v>35</v>
      </c>
      <c r="C28" s="46" t="s">
        <v>36</v>
      </c>
      <c r="D28" s="46"/>
    </row>
    <row r="29" spans="2:4" ht="30" customHeight="1">
      <c r="B29" s="14" t="s">
        <v>37</v>
      </c>
      <c r="C29" s="45" t="s">
        <v>38</v>
      </c>
      <c r="D29" s="45"/>
    </row>
    <row r="30" spans="2:4" ht="30" customHeight="1">
      <c r="B30" s="14" t="s">
        <v>39</v>
      </c>
      <c r="C30" s="46" t="s">
        <v>40</v>
      </c>
      <c r="D30" s="46"/>
    </row>
    <row r="31" spans="2:4" ht="30" customHeight="1">
      <c r="B31" s="14" t="s">
        <v>41</v>
      </c>
      <c r="C31" s="46" t="s">
        <v>42</v>
      </c>
      <c r="D31" s="46"/>
    </row>
    <row r="32" spans="2:4" ht="30" customHeight="1">
      <c r="B32" s="15" t="s">
        <v>43</v>
      </c>
      <c r="C32" s="45" t="s">
        <v>44</v>
      </c>
      <c r="D32" s="45"/>
    </row>
    <row r="33" spans="2:4" ht="30" customHeight="1">
      <c r="B33" s="14" t="s">
        <v>45</v>
      </c>
      <c r="C33" s="45" t="s">
        <v>46</v>
      </c>
      <c r="D33" s="45"/>
    </row>
  </sheetData>
  <mergeCells count="17">
    <mergeCell ref="C4:D4"/>
    <mergeCell ref="C5:D5"/>
    <mergeCell ref="C8:D8"/>
    <mergeCell ref="C9:D9"/>
    <mergeCell ref="C10:D10"/>
    <mergeCell ref="C11:D11"/>
    <mergeCell ref="B21:D21"/>
    <mergeCell ref="B22:D22"/>
    <mergeCell ref="B23:D23"/>
    <mergeCell ref="C26:D26"/>
    <mergeCell ref="C32:D32"/>
    <mergeCell ref="C33:D33"/>
    <mergeCell ref="C27:D27"/>
    <mergeCell ref="C28:D28"/>
    <mergeCell ref="C29:D29"/>
    <mergeCell ref="C30:D30"/>
    <mergeCell ref="C31:D31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44"/>
  <sheetViews>
    <sheetView showGridLines="0" zoomScaleNormal="100" workbookViewId="0"/>
  </sheetViews>
  <sheetFormatPr defaultColWidth="8.7109375" defaultRowHeight="15"/>
  <cols>
    <col min="1" max="1" width="2" customWidth="1"/>
    <col min="2" max="2" width="7" customWidth="1"/>
    <col min="3" max="3" width="26" customWidth="1"/>
    <col min="4" max="4" width="18" customWidth="1"/>
    <col min="5" max="5" width="22" customWidth="1"/>
    <col min="6" max="6" width="30" customWidth="1"/>
  </cols>
  <sheetData>
    <row r="1" spans="2:6" ht="30" customHeight="1">
      <c r="B1" s="8" t="s">
        <v>47</v>
      </c>
    </row>
    <row r="2" spans="2:6">
      <c r="B2" s="17" t="s">
        <v>48</v>
      </c>
    </row>
    <row r="4" spans="2:6" ht="21.75" customHeight="1">
      <c r="B4" s="57" t="s">
        <v>49</v>
      </c>
      <c r="C4" s="57"/>
      <c r="D4" s="57"/>
      <c r="E4" s="57"/>
      <c r="F4" s="18" t="str">
        <f>COUNTIF(B5:B10,"済")&amp;" / 6"</f>
        <v>0 / 6</v>
      </c>
    </row>
    <row r="5" spans="2:6" ht="18.75" customHeight="1">
      <c r="B5" s="19"/>
      <c r="C5" s="45" t="s">
        <v>50</v>
      </c>
      <c r="D5" s="45"/>
      <c r="E5" s="45"/>
      <c r="F5" s="45"/>
    </row>
    <row r="6" spans="2:6" ht="18.75" customHeight="1">
      <c r="B6" s="19"/>
      <c r="C6" s="45" t="s">
        <v>51</v>
      </c>
      <c r="D6" s="45"/>
      <c r="E6" s="45"/>
      <c r="F6" s="45"/>
    </row>
    <row r="7" spans="2:6" ht="18.75" customHeight="1">
      <c r="B7" s="19"/>
      <c r="C7" s="46" t="s">
        <v>52</v>
      </c>
      <c r="D7" s="46"/>
      <c r="E7" s="46"/>
      <c r="F7" s="46"/>
    </row>
    <row r="8" spans="2:6" ht="18.75" customHeight="1">
      <c r="B8" s="19"/>
      <c r="C8" s="46" t="s">
        <v>53</v>
      </c>
      <c r="D8" s="46"/>
      <c r="E8" s="46"/>
      <c r="F8" s="46"/>
    </row>
    <row r="9" spans="2:6" ht="18.75" customHeight="1">
      <c r="B9" s="19"/>
      <c r="C9" s="46" t="s">
        <v>54</v>
      </c>
      <c r="D9" s="46"/>
      <c r="E9" s="46"/>
      <c r="F9" s="46"/>
    </row>
    <row r="10" spans="2:6" ht="18.75" customHeight="1">
      <c r="B10" s="19"/>
      <c r="C10" s="46" t="s">
        <v>55</v>
      </c>
      <c r="D10" s="46"/>
      <c r="E10" s="46"/>
      <c r="F10" s="46"/>
    </row>
    <row r="12" spans="2:6" ht="21.75" customHeight="1">
      <c r="B12" s="56" t="s">
        <v>56</v>
      </c>
      <c r="C12" s="56"/>
      <c r="D12" s="56"/>
      <c r="E12" s="56"/>
      <c r="F12" s="20" t="str">
        <f>COUNTIF(B13:B17,"済")&amp;" / 5"</f>
        <v>0 / 5</v>
      </c>
    </row>
    <row r="13" spans="2:6" ht="18.75" customHeight="1">
      <c r="B13" s="19"/>
      <c r="C13" s="46" t="s">
        <v>57</v>
      </c>
      <c r="D13" s="46"/>
      <c r="E13" s="46"/>
      <c r="F13" s="46"/>
    </row>
    <row r="14" spans="2:6" ht="18.75" customHeight="1">
      <c r="B14" s="19"/>
      <c r="C14" s="46" t="s">
        <v>58</v>
      </c>
      <c r="D14" s="46"/>
      <c r="E14" s="46"/>
      <c r="F14" s="46"/>
    </row>
    <row r="15" spans="2:6" ht="18.75" customHeight="1">
      <c r="B15" s="19"/>
      <c r="C15" s="45" t="s">
        <v>59</v>
      </c>
      <c r="D15" s="45"/>
      <c r="E15" s="45"/>
      <c r="F15" s="45"/>
    </row>
    <row r="16" spans="2:6" ht="18.75" customHeight="1">
      <c r="B16" s="19"/>
      <c r="C16" s="46" t="s">
        <v>60</v>
      </c>
      <c r="D16" s="46"/>
      <c r="E16" s="46"/>
      <c r="F16" s="46"/>
    </row>
    <row r="17" spans="2:6" ht="18.75" customHeight="1">
      <c r="B17" s="19"/>
      <c r="C17" s="45" t="s">
        <v>61</v>
      </c>
      <c r="D17" s="45"/>
      <c r="E17" s="45"/>
      <c r="F17" s="45"/>
    </row>
    <row r="19" spans="2:6" ht="21.75" customHeight="1">
      <c r="B19" s="55" t="s">
        <v>62</v>
      </c>
      <c r="C19" s="55"/>
      <c r="D19" s="55"/>
      <c r="E19" s="55"/>
      <c r="F19" s="21" t="str">
        <f>COUNTIF(B20:B22,"済")&amp;" / 3"</f>
        <v>0 / 3</v>
      </c>
    </row>
    <row r="20" spans="2:6" ht="18.75" customHeight="1">
      <c r="B20" s="19"/>
      <c r="C20" s="46" t="s">
        <v>63</v>
      </c>
      <c r="D20" s="46"/>
      <c r="E20" s="46"/>
      <c r="F20" s="46"/>
    </row>
    <row r="21" spans="2:6" ht="18.75" customHeight="1">
      <c r="B21" s="19"/>
      <c r="C21" s="46" t="s">
        <v>64</v>
      </c>
      <c r="D21" s="46"/>
      <c r="E21" s="46"/>
      <c r="F21" s="46"/>
    </row>
    <row r="22" spans="2:6" ht="18.75" customHeight="1">
      <c r="B22" s="19"/>
      <c r="C22" s="46" t="s">
        <v>65</v>
      </c>
      <c r="D22" s="46"/>
      <c r="E22" s="46"/>
      <c r="F22" s="46"/>
    </row>
    <row r="24" spans="2:6" ht="21.75" customHeight="1">
      <c r="B24" s="54" t="s">
        <v>66</v>
      </c>
      <c r="C24" s="54"/>
      <c r="D24" s="54"/>
      <c r="E24" s="54"/>
      <c r="F24" s="22" t="str">
        <f>COUNTIF(B25:B28,"済")&amp;" / 4"</f>
        <v>0 / 4</v>
      </c>
    </row>
    <row r="25" spans="2:6" ht="18.75" customHeight="1">
      <c r="B25" s="19"/>
      <c r="C25" s="45" t="s">
        <v>67</v>
      </c>
      <c r="D25" s="45"/>
      <c r="E25" s="45"/>
      <c r="F25" s="45"/>
    </row>
    <row r="26" spans="2:6" ht="18.75" customHeight="1">
      <c r="B26" s="19"/>
      <c r="C26" s="45" t="s">
        <v>68</v>
      </c>
      <c r="D26" s="45"/>
      <c r="E26" s="45"/>
      <c r="F26" s="45"/>
    </row>
    <row r="27" spans="2:6" ht="18.75" customHeight="1">
      <c r="B27" s="19"/>
      <c r="C27" s="46" t="s">
        <v>69</v>
      </c>
      <c r="D27" s="46"/>
      <c r="E27" s="46"/>
      <c r="F27" s="46"/>
    </row>
    <row r="28" spans="2:6" ht="18.75" customHeight="1">
      <c r="B28" s="19"/>
      <c r="C28" s="45" t="s">
        <v>70</v>
      </c>
      <c r="D28" s="45"/>
      <c r="E28" s="45"/>
      <c r="F28" s="45"/>
    </row>
    <row r="30" spans="2:6" ht="15" customHeight="1">
      <c r="B30" s="23" t="s">
        <v>71</v>
      </c>
      <c r="C30" s="51" t="str">
        <f>IF(COUNTIF(B25:B28,"済")=4,"CP4まで",IF(COUNTIF(B20:B22,"済")=3,"CP3まで",IF(COUNTIF(B13:B17,"済")=5,"CP2まで",IF(COUNTIF(B5:B10,"済")=6,"CP1まで","CP1の途中"))))</f>
        <v>CP1の途中</v>
      </c>
      <c r="D30" s="51"/>
      <c r="E30" s="52" t="s">
        <v>72</v>
      </c>
      <c r="F30" s="52"/>
    </row>
    <row r="32" spans="2:6" ht="17.100000000000001">
      <c r="B32" s="24" t="s">
        <v>73</v>
      </c>
    </row>
    <row r="33" spans="2:6" ht="21.75" customHeight="1">
      <c r="B33" s="2" t="s">
        <v>74</v>
      </c>
      <c r="C33" s="25" t="s">
        <v>75</v>
      </c>
      <c r="D33" s="25" t="s">
        <v>76</v>
      </c>
      <c r="E33" s="25" t="s">
        <v>77</v>
      </c>
      <c r="F33" s="25" t="s">
        <v>78</v>
      </c>
    </row>
    <row r="34" spans="2:6">
      <c r="B34" s="26" t="s">
        <v>79</v>
      </c>
      <c r="C34" s="27" t="s">
        <v>80</v>
      </c>
      <c r="D34" s="28" t="s">
        <v>81</v>
      </c>
      <c r="E34" s="26" t="s">
        <v>82</v>
      </c>
      <c r="F34" s="26" t="s">
        <v>83</v>
      </c>
    </row>
    <row r="35" spans="2:6" ht="19.5" customHeight="1">
      <c r="B35" s="29">
        <v>1</v>
      </c>
      <c r="C35" s="7"/>
      <c r="D35" s="19"/>
      <c r="E35" s="19"/>
      <c r="F35" s="19"/>
    </row>
    <row r="36" spans="2:6" ht="19.5" customHeight="1">
      <c r="B36" s="29">
        <v>2</v>
      </c>
      <c r="C36" s="7"/>
      <c r="D36" s="19"/>
      <c r="E36" s="19"/>
      <c r="F36" s="19"/>
    </row>
    <row r="37" spans="2:6" ht="19.5" customHeight="1">
      <c r="B37" s="29">
        <v>3</v>
      </c>
      <c r="C37" s="7"/>
      <c r="D37" s="19"/>
      <c r="E37" s="19"/>
      <c r="F37" s="19"/>
    </row>
    <row r="38" spans="2:6" ht="19.5" customHeight="1">
      <c r="B38" s="29">
        <v>4</v>
      </c>
      <c r="C38" s="7"/>
      <c r="D38" s="19"/>
      <c r="E38" s="19"/>
      <c r="F38" s="19"/>
    </row>
    <row r="39" spans="2:6" ht="19.5" customHeight="1">
      <c r="B39" s="29">
        <v>5</v>
      </c>
      <c r="C39" s="7"/>
      <c r="D39" s="19"/>
      <c r="E39" s="19"/>
      <c r="F39" s="19"/>
    </row>
    <row r="40" spans="2:6" ht="19.5" customHeight="1">
      <c r="B40" s="29">
        <v>6</v>
      </c>
      <c r="C40" s="7"/>
      <c r="D40" s="19"/>
      <c r="E40" s="19"/>
      <c r="F40" s="19"/>
    </row>
    <row r="41" spans="2:6" ht="19.5" customHeight="1">
      <c r="B41" s="29">
        <v>7</v>
      </c>
      <c r="C41" s="7"/>
      <c r="D41" s="19"/>
      <c r="E41" s="19"/>
      <c r="F41" s="19"/>
    </row>
    <row r="42" spans="2:6" ht="19.5" customHeight="1">
      <c r="B42" s="29">
        <v>8</v>
      </c>
      <c r="C42" s="7"/>
      <c r="D42" s="19"/>
      <c r="E42" s="19"/>
      <c r="F42" s="19"/>
    </row>
    <row r="43" spans="2:6" ht="30" customHeight="1">
      <c r="B43" s="53" t="s">
        <v>84</v>
      </c>
      <c r="C43" s="53"/>
      <c r="D43" s="53"/>
      <c r="E43" s="53"/>
      <c r="F43" s="53"/>
    </row>
    <row r="44" spans="2:6" ht="21.75" customHeight="1">
      <c r="B44" s="53"/>
      <c r="C44" s="53"/>
      <c r="D44" s="53"/>
      <c r="E44" s="53"/>
      <c r="F44" s="53"/>
    </row>
  </sheetData>
  <mergeCells count="25">
    <mergeCell ref="B4:E4"/>
    <mergeCell ref="C5:F5"/>
    <mergeCell ref="C6:F6"/>
    <mergeCell ref="C7:F7"/>
    <mergeCell ref="C8:F8"/>
    <mergeCell ref="C9:F9"/>
    <mergeCell ref="C10:F10"/>
    <mergeCell ref="B12:E12"/>
    <mergeCell ref="C13:F13"/>
    <mergeCell ref="C14:F14"/>
    <mergeCell ref="C15:F15"/>
    <mergeCell ref="C16:F16"/>
    <mergeCell ref="C17:F17"/>
    <mergeCell ref="B19:E19"/>
    <mergeCell ref="C20:F20"/>
    <mergeCell ref="C21:F21"/>
    <mergeCell ref="C22:F22"/>
    <mergeCell ref="B24:E24"/>
    <mergeCell ref="C25:F25"/>
    <mergeCell ref="C26:F26"/>
    <mergeCell ref="C27:F27"/>
    <mergeCell ref="C28:F28"/>
    <mergeCell ref="C30:D30"/>
    <mergeCell ref="E30:F30"/>
    <mergeCell ref="B43:F44"/>
  </mergeCells>
  <conditionalFormatting sqref="F35:F42">
    <cfRule type="expression" dxfId="8" priority="2">
      <formula>AND($E35="ある",$F35="消す")</formula>
    </cfRule>
  </conditionalFormatting>
  <dataValidations count="3">
    <dataValidation type="list" allowBlank="1" sqref="B5:B10 B13:B17 B20:B22 B25:B28" xr:uid="{00000000-0002-0000-0100-000000000000}">
      <formula1>"済"</formula1>
      <formula2>0</formula2>
    </dataValidation>
    <dataValidation type="list" allowBlank="1" sqref="E35:E42" xr:uid="{00000000-0002-0000-0100-000001000000}">
      <formula1>"ある,ない"</formula1>
      <formula2>0</formula2>
    </dataValidation>
    <dataValidation type="list" allowBlank="1" sqref="F35:F42" xr:uid="{00000000-0002-0000-0100-000002000000}">
      <formula1>"残す,消す,名前を変える"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53"/>
  <sheetViews>
    <sheetView showGridLines="0" zoomScaleNormal="100" workbookViewId="0">
      <pane xSplit="1" ySplit="3" topLeftCell="B4" activePane="bottomRight" state="frozen"/>
      <selection pane="bottomRight"/>
      <selection pane="bottomLeft" activeCell="A4" sqref="A4"/>
      <selection pane="topRight" activeCell="B1" sqref="B1"/>
    </sheetView>
  </sheetViews>
  <sheetFormatPr defaultColWidth="8.7109375" defaultRowHeight="15" outlineLevelCol="1"/>
  <cols>
    <col min="1" max="1" width="2" customWidth="1"/>
    <col min="2" max="2" width="16" customWidth="1"/>
    <col min="3" max="4" width="15" customWidth="1"/>
    <col min="5" max="5" width="8" customWidth="1"/>
    <col min="6" max="6" width="14" customWidth="1"/>
    <col min="7" max="7" width="12" customWidth="1"/>
    <col min="8" max="8" width="44" customWidth="1"/>
    <col min="9" max="9" width="7" customWidth="1"/>
    <col min="10" max="10" width="44" hidden="1" customWidth="1" outlineLevel="1"/>
    <col min="11" max="11" width="13" hidden="1" customWidth="1"/>
  </cols>
  <sheetData>
    <row r="1" spans="2:11" ht="30" customHeight="1">
      <c r="B1" s="30" t="s">
        <v>85</v>
      </c>
    </row>
    <row r="2" spans="2:11">
      <c r="B2" s="9" t="s">
        <v>86</v>
      </c>
    </row>
    <row r="3" spans="2:11" ht="27.75" customHeight="1">
      <c r="B3" s="62" t="s">
        <v>87</v>
      </c>
      <c r="C3" s="62"/>
      <c r="D3" s="62"/>
      <c r="E3" s="62"/>
      <c r="F3" s="62"/>
      <c r="G3" s="62"/>
      <c r="H3" s="62"/>
      <c r="I3" s="62"/>
      <c r="J3" s="62"/>
    </row>
    <row r="4" spans="2:11" ht="29.85" customHeight="1">
      <c r="B4" s="63" t="s">
        <v>88</v>
      </c>
      <c r="C4" s="63"/>
      <c r="D4" s="63"/>
      <c r="E4" s="63"/>
      <c r="F4" s="63"/>
      <c r="G4" s="63"/>
      <c r="H4" s="63"/>
      <c r="I4" s="63"/>
      <c r="J4" s="63"/>
    </row>
    <row r="5" spans="2:11" ht="15" customHeight="1">
      <c r="B5" s="10" t="s">
        <v>89</v>
      </c>
      <c r="C5" s="64" t="s">
        <v>90</v>
      </c>
      <c r="D5" s="64"/>
      <c r="E5" s="52" t="s">
        <v>91</v>
      </c>
      <c r="F5" s="52"/>
      <c r="G5" s="52"/>
    </row>
    <row r="6" spans="2:11" ht="30" customHeight="1">
      <c r="B6" s="31" t="s">
        <v>92</v>
      </c>
      <c r="C6" s="31" t="s">
        <v>93</v>
      </c>
      <c r="D6" s="31" t="s">
        <v>94</v>
      </c>
      <c r="E6" s="31" t="s">
        <v>95</v>
      </c>
      <c r="F6" s="32" t="s">
        <v>96</v>
      </c>
      <c r="G6" s="31" t="s">
        <v>97</v>
      </c>
      <c r="H6" s="31" t="s">
        <v>98</v>
      </c>
      <c r="I6" s="31" t="s">
        <v>99</v>
      </c>
      <c r="J6" s="31" t="s">
        <v>100</v>
      </c>
    </row>
    <row r="7" spans="2:11" ht="15" customHeight="1">
      <c r="B7" s="52" t="s">
        <v>101</v>
      </c>
      <c r="C7" s="52"/>
      <c r="D7" s="52"/>
      <c r="E7" s="52"/>
      <c r="F7" s="52"/>
      <c r="G7" s="52"/>
      <c r="H7" s="33" t="str">
        <f>IF(C5="","（テーブル名を入れると出ます）","CREATE TABLE "&amp;C5&amp;" (")</f>
        <v>CREATE TABLE 部員 (</v>
      </c>
    </row>
    <row r="8" spans="2:11" ht="21" customHeight="1">
      <c r="B8" s="27" t="s">
        <v>102</v>
      </c>
      <c r="C8" s="34" t="s">
        <v>103</v>
      </c>
      <c r="D8" s="28" t="s">
        <v>104</v>
      </c>
      <c r="E8" s="28" t="s">
        <v>105</v>
      </c>
      <c r="F8" s="27"/>
      <c r="G8" s="27"/>
      <c r="H8" s="27" t="s">
        <v>106</v>
      </c>
      <c r="I8" s="35" t="str">
        <f>IF(OR(J8="",H8=""),"",IF(UPPER(SUBSTITUTE(SUBSTITUTE(TRIM(H8)," ",""),"　",""))=UPPER(SUBSTITUTE(SUBSTITUTE(TRIM(J8)," ",""),"　","")),"○","✗"))</f>
        <v>○</v>
      </c>
      <c r="J8" s="36" t="str">
        <f>IF(B8="","",B8&amp;" "&amp;C8&amp;IF(LEFT(D8,2)="PK",IF(COUNTIF($D$8:$D$10,"PK*")=1,IF(D8="PK（自動番号）"," IDENTITY(1,1)","")&amp;" PRIMARY KEY",IF(D8="PK（自動番号）"," IDENTITY(1,1)","")&amp;" NOT NULL"),IF(E8="○"," NULL"," NOT NULL"))&amp;IF(OR(D8="FK",D8="PK＋FK")," REFERENCES "&amp;F8&amp;"("&amp;G8&amp;")","")&amp;IF(OR(B9&lt;&gt;"",COUNTIF($D$8:$D$10,"PK*")&gt;1),",",""))</f>
        <v>部員ID INT IDENTITY(1,1) PRIMARY KEY,</v>
      </c>
      <c r="K8" t="str">
        <f>IF(LEFT(D8,2)="PK",", "&amp;B8,"")</f>
        <v>, 部員ID</v>
      </c>
    </row>
    <row r="9" spans="2:11" ht="21" customHeight="1">
      <c r="B9" s="27" t="s">
        <v>2</v>
      </c>
      <c r="C9" s="34" t="s">
        <v>107</v>
      </c>
      <c r="D9" s="28"/>
      <c r="E9" s="28" t="s">
        <v>105</v>
      </c>
      <c r="F9" s="27"/>
      <c r="G9" s="27"/>
      <c r="H9" s="27" t="s">
        <v>108</v>
      </c>
      <c r="I9" s="35" t="str">
        <f>IF(OR(J9="",H9=""),"",IF(UPPER(SUBSTITUTE(SUBSTITUTE(TRIM(H9)," ",""),"　",""))=UPPER(SUBSTITUTE(SUBSTITUTE(TRIM(J9)," ",""),"　","")),"○","✗"))</f>
        <v>✗</v>
      </c>
      <c r="J9" s="36" t="str">
        <f>IF(B9="","",B9&amp;" "&amp;C9&amp;IF(LEFT(D9,2)="PK",IF(COUNTIF($D$8:$D$10,"PK*")=1,IF(D9="PK（自動番号）"," IDENTITY(1,1)","")&amp;" PRIMARY KEY",IF(D9="PK（自動番号）"," IDENTITY(1,1)","")&amp;" NOT NULL"),IF(E9="○"," NULL"," NOT NULL"))&amp;IF(OR(D9="FK",D9="PK＋FK")," REFERENCES "&amp;F9&amp;"("&amp;G9&amp;")","")&amp;IF(OR(B10&lt;&gt;"",COUNTIF($D$8:$D$10,"PK*")&gt;1),",",""))</f>
        <v>名前 NVARCHAR(50) NOT NULL,</v>
      </c>
      <c r="K9" t="str">
        <f>IF(LEFT(D9,2)="PK",", "&amp;B9,"")</f>
        <v/>
      </c>
    </row>
    <row r="10" spans="2:11" ht="21" customHeight="1">
      <c r="B10" s="27" t="s">
        <v>109</v>
      </c>
      <c r="C10" s="34" t="s">
        <v>103</v>
      </c>
      <c r="D10" s="28"/>
      <c r="E10" s="28" t="s">
        <v>105</v>
      </c>
      <c r="F10" s="27"/>
      <c r="G10" s="27"/>
      <c r="H10" s="27" t="s">
        <v>110</v>
      </c>
      <c r="I10" s="35" t="str">
        <f>IF(OR(J10="",H10=""),"",IF(UPPER(SUBSTITUTE(SUBSTITUTE(TRIM(H10)," ",""),"　",""))=UPPER(SUBSTITUTE(SUBSTITUTE(TRIM(J10)," ",""),"　","")),"○","✗"))</f>
        <v>○</v>
      </c>
      <c r="J10" s="36" t="str">
        <f>IF(B10="","",B10&amp;" "&amp;C10&amp;IF(LEFT(D10,2)="PK",IF(COUNTIF($D$8:$D$10,"PK*")=1,IF(D10="PK（自動番号）"," IDENTITY(1,1)","")&amp;" PRIMARY KEY",IF(D10="PK（自動番号）"," IDENTITY(1,1)","")&amp;" NOT NULL"),IF(E10="○"," NULL"," NOT NULL"))&amp;IF(OR(D10="FK",D10="PK＋FK")," REFERENCES "&amp;F10&amp;"("&amp;G10&amp;")","")&amp;IF(OR(B11&lt;&gt;"",COUNTIF($D$8:$D$10,"PK*")&gt;1),",",""))</f>
        <v>学年 INT NOT NULL</v>
      </c>
      <c r="K10" t="str">
        <f>IF(LEFT(D10,2)="PK",", "&amp;B10,"")</f>
        <v/>
      </c>
    </row>
    <row r="11" spans="2:11" ht="21" customHeight="1">
      <c r="B11" s="13"/>
      <c r="C11" s="58" t="s">
        <v>111</v>
      </c>
      <c r="D11" s="58"/>
      <c r="E11" s="58"/>
      <c r="F11" s="58"/>
      <c r="G11" s="58"/>
      <c r="H11" s="37"/>
      <c r="I11" s="35" t="str">
        <f>IF(OR(J11="",H11=""),"",IF(UPPER(SUBSTITUTE(SUBSTITUTE(TRIM(H11)," ",""),"　",""))=UPPER(SUBSTITUTE(SUBSTITUTE(TRIM(J11)," ",""),"　","")),"○","✗"))</f>
        <v/>
      </c>
      <c r="J11" s="36" t="str">
        <f>IF(COUNTIF($D$8:$D$10,"PK*")&gt;1,"PRIMARY KEY ("&amp;MID(K8&amp;K9&amp;K10,3,300)&amp;")","")</f>
        <v/>
      </c>
    </row>
    <row r="12" spans="2:11">
      <c r="H12" s="33" t="s">
        <v>112</v>
      </c>
      <c r="I12" s="59" t="str">
        <f>IF(COUNTA(B8:B10)=0,"",IF(COUNTIF($D$8:$D$10,"PK*")=0,"主キーがありません",IF(COUNTIFS($D$8:$D$10,"*FK",$F$8:$F$10,"")&gt;0,"FKの参照先が空です","")))</f>
        <v/>
      </c>
      <c r="J12" s="59"/>
    </row>
    <row r="13" spans="2:11" ht="15" customHeight="1">
      <c r="B13" s="60" t="s">
        <v>113</v>
      </c>
      <c r="C13" s="60"/>
      <c r="D13" s="60"/>
      <c r="E13" s="60"/>
      <c r="F13" s="60"/>
      <c r="G13" s="60"/>
      <c r="H13" s="60"/>
      <c r="I13" s="60"/>
      <c r="J13" s="60"/>
    </row>
    <row r="14" spans="2:11" ht="15" customHeight="1">
      <c r="B14" s="10" t="s">
        <v>114</v>
      </c>
      <c r="C14" s="61"/>
      <c r="D14" s="61"/>
      <c r="E14" s="52" t="s">
        <v>91</v>
      </c>
      <c r="F14" s="52"/>
      <c r="G14" s="52"/>
    </row>
    <row r="15" spans="2:11" ht="30" customHeight="1">
      <c r="B15" s="25" t="s">
        <v>92</v>
      </c>
      <c r="C15" s="25" t="s">
        <v>93</v>
      </c>
      <c r="D15" s="25" t="s">
        <v>94</v>
      </c>
      <c r="E15" s="25" t="s">
        <v>95</v>
      </c>
      <c r="F15" s="2" t="s">
        <v>96</v>
      </c>
      <c r="G15" s="25" t="s">
        <v>97</v>
      </c>
      <c r="H15" s="25" t="s">
        <v>98</v>
      </c>
      <c r="I15" s="25" t="s">
        <v>99</v>
      </c>
      <c r="J15" s="25" t="s">
        <v>100</v>
      </c>
    </row>
    <row r="16" spans="2:11" ht="15" customHeight="1">
      <c r="B16" s="52" t="s">
        <v>101</v>
      </c>
      <c r="C16" s="52"/>
      <c r="D16" s="52"/>
      <c r="E16" s="52"/>
      <c r="F16" s="52"/>
      <c r="G16" s="52"/>
      <c r="H16" s="33" t="str">
        <f>IF(C14="","（テーブル名を入れると出ます）","CREATE TABLE "&amp;C14&amp;" (")</f>
        <v>（テーブル名を入れると出ます）</v>
      </c>
    </row>
    <row r="17" spans="2:11" ht="21" customHeight="1">
      <c r="B17" s="7"/>
      <c r="C17" s="7"/>
      <c r="D17" s="19"/>
      <c r="E17" s="19"/>
      <c r="F17" s="7"/>
      <c r="G17" s="7"/>
      <c r="H17" s="38"/>
      <c r="I17" s="35" t="str">
        <f>IF(OR(J17="",H17=""),"",IF(UPPER(SUBSTITUTE(SUBSTITUTE(TRIM(H17)," ",""),"　",""))=UPPER(SUBSTITUTE(SUBSTITUTE(TRIM(J17)," ",""),"　","")),"○","✗"))</f>
        <v/>
      </c>
      <c r="J17" s="36" t="str">
        <f>IF(B17="","",B17&amp;" "&amp;C17&amp;IF(LEFT(D17,2)="PK",IF(COUNTIF($D$17:$D$23,"PK*")=1,IF(D17="PK（自動番号）"," IDENTITY(1,1)","")&amp;" PRIMARY KEY",IF(D17="PK（自動番号）"," IDENTITY(1,1)","")&amp;" NOT NULL"),IF(E17="○"," NULL"," NOT NULL"))&amp;IF(OR(D17="FK",D17="PK＋FK")," REFERENCES "&amp;F17&amp;"("&amp;G17&amp;")","")&amp;IF(OR(B18&lt;&gt;"",COUNTIF($D$17:$D$23,"PK*")&gt;1),",",""))</f>
        <v/>
      </c>
      <c r="K17" t="str">
        <f>IF(LEFT(D17,2)="PK",", "&amp;B17,"")</f>
        <v/>
      </c>
    </row>
    <row r="18" spans="2:11" ht="21" customHeight="1">
      <c r="B18" s="7"/>
      <c r="C18" s="7"/>
      <c r="D18" s="19"/>
      <c r="E18" s="19"/>
      <c r="F18" s="7"/>
      <c r="G18" s="7"/>
      <c r="H18" s="38"/>
      <c r="I18" s="35" t="str">
        <f>IF(OR(J18="",H18=""),"",IF(UPPER(SUBSTITUTE(SUBSTITUTE(TRIM(H18)," ",""),"　",""))=UPPER(SUBSTITUTE(SUBSTITUTE(TRIM(J18)," ",""),"　","")),"○","✗"))</f>
        <v/>
      </c>
      <c r="J18" s="36" t="str">
        <f>IF(B18="","",B18&amp;" "&amp;C18&amp;IF(LEFT(D18,2)="PK",IF(COUNTIF($D$17:$D$23,"PK*")=1,IF(D18="PK（自動番号）"," IDENTITY(1,1)","")&amp;" PRIMARY KEY",IF(D18="PK（自動番号）"," IDENTITY(1,1)","")&amp;" NOT NULL"),IF(E18="○"," NULL"," NOT NULL"))&amp;IF(OR(D18="FK",D18="PK＋FK")," REFERENCES "&amp;F18&amp;"("&amp;G18&amp;")","")&amp;IF(OR(B19&lt;&gt;"",COUNTIF($D$17:$D$23,"PK*")&gt;1),",",""))</f>
        <v/>
      </c>
      <c r="K18" t="str">
        <f>IF(LEFT(D18,2)="PK",", "&amp;B18,"")</f>
        <v/>
      </c>
    </row>
    <row r="19" spans="2:11" ht="21" customHeight="1">
      <c r="B19" s="7"/>
      <c r="C19" s="7"/>
      <c r="D19" s="19"/>
      <c r="E19" s="19"/>
      <c r="F19" s="7"/>
      <c r="G19" s="7"/>
      <c r="H19" s="38"/>
      <c r="I19" s="35" t="str">
        <f>IF(OR(J19="",H19=""),"",IF(UPPER(SUBSTITUTE(SUBSTITUTE(TRIM(H19)," ",""),"　",""))=UPPER(SUBSTITUTE(SUBSTITUTE(TRIM(J19)," ",""),"　","")),"○","✗"))</f>
        <v/>
      </c>
      <c r="J19" s="36" t="str">
        <f>IF(B19="","",B19&amp;" "&amp;C19&amp;IF(LEFT(D19,2)="PK",IF(COUNTIF($D$17:$D$23,"PK*")=1,IF(D19="PK（自動番号）"," IDENTITY(1,1)","")&amp;" PRIMARY KEY",IF(D19="PK（自動番号）"," IDENTITY(1,1)","")&amp;" NOT NULL"),IF(E19="○"," NULL"," NOT NULL"))&amp;IF(OR(D19="FK",D19="PK＋FK")," REFERENCES "&amp;F19&amp;"("&amp;G19&amp;")","")&amp;IF(OR(B20&lt;&gt;"",COUNTIF($D$17:$D$23,"PK*")&gt;1),",",""))</f>
        <v/>
      </c>
      <c r="K19" t="str">
        <f>IF(LEFT(D19,2)="PK",", "&amp;B19,"")</f>
        <v/>
      </c>
    </row>
    <row r="20" spans="2:11" ht="21" customHeight="1">
      <c r="B20" s="7"/>
      <c r="C20" s="7"/>
      <c r="D20" s="19"/>
      <c r="E20" s="19"/>
      <c r="F20" s="7"/>
      <c r="G20" s="7"/>
      <c r="H20" s="38"/>
      <c r="I20" s="35" t="str">
        <f>IF(OR(J20="",H20=""),"",IF(UPPER(SUBSTITUTE(SUBSTITUTE(TRIM(H20)," ",""),"　",""))=UPPER(SUBSTITUTE(SUBSTITUTE(TRIM(J20)," ",""),"　","")),"○","✗"))</f>
        <v/>
      </c>
      <c r="J20" s="36" t="str">
        <f>IF(B20="","",B20&amp;" "&amp;C20&amp;IF(LEFT(D20,2)="PK",IF(COUNTIF($D$17:$D$23,"PK*")=1,IF(D20="PK（自動番号）"," IDENTITY(1,1)","")&amp;" PRIMARY KEY",IF(D20="PK（自動番号）"," IDENTITY(1,1)","")&amp;" NOT NULL"),IF(E20="○"," NULL"," NOT NULL"))&amp;IF(OR(D20="FK",D20="PK＋FK")," REFERENCES "&amp;F20&amp;"("&amp;G20&amp;")","")&amp;IF(OR(B21&lt;&gt;"",COUNTIF($D$17:$D$23,"PK*")&gt;1),",",""))</f>
        <v/>
      </c>
      <c r="K20" t="str">
        <f>IF(LEFT(D20,2)="PK",", "&amp;B20,"")</f>
        <v/>
      </c>
    </row>
    <row r="21" spans="2:11" ht="21" customHeight="1">
      <c r="B21" s="7"/>
      <c r="C21" s="7"/>
      <c r="D21" s="19"/>
      <c r="E21" s="19"/>
      <c r="F21" s="7"/>
      <c r="G21" s="7"/>
      <c r="H21" s="38"/>
      <c r="I21" s="35" t="str">
        <f>IF(OR(J21="",H21=""),"",IF(UPPER(SUBSTITUTE(SUBSTITUTE(TRIM(H21)," ",""),"　",""))=UPPER(SUBSTITUTE(SUBSTITUTE(TRIM(J21)," ",""),"　","")),"○","✗"))</f>
        <v/>
      </c>
      <c r="J21" s="36" t="str">
        <f>IF(B21="","",B21&amp;" "&amp;C21&amp;IF(LEFT(D21,2)="PK",IF(COUNTIF($D$17:$D$23,"PK*")=1,IF(D21="PK（自動番号）"," IDENTITY(1,1)","")&amp;" PRIMARY KEY",IF(D21="PK（自動番号）"," IDENTITY(1,1)","")&amp;" NOT NULL"),IF(E21="○"," NULL"," NOT NULL"))&amp;IF(OR(D21="FK",D21="PK＋FK")," REFERENCES "&amp;F21&amp;"("&amp;G21&amp;")","")&amp;IF(OR(B22&lt;&gt;"",COUNTIF($D$17:$D$23,"PK*")&gt;1),",",""))</f>
        <v/>
      </c>
      <c r="K21" t="str">
        <f>IF(LEFT(D21,2)="PK",", "&amp;B21,"")</f>
        <v/>
      </c>
    </row>
    <row r="22" spans="2:11" ht="21" customHeight="1">
      <c r="B22" s="7"/>
      <c r="C22" s="7"/>
      <c r="D22" s="19"/>
      <c r="E22" s="19"/>
      <c r="F22" s="7"/>
      <c r="G22" s="7"/>
      <c r="H22" s="38"/>
      <c r="I22" s="35" t="str">
        <f>IF(OR(J22="",H22=""),"",IF(UPPER(SUBSTITUTE(SUBSTITUTE(TRIM(H22)," ",""),"　",""))=UPPER(SUBSTITUTE(SUBSTITUTE(TRIM(J22)," ",""),"　","")),"○","✗"))</f>
        <v/>
      </c>
      <c r="J22" s="36" t="str">
        <f>IF(B22="","",B22&amp;" "&amp;C22&amp;IF(LEFT(D22,2)="PK",IF(COUNTIF($D$17:$D$23,"PK*")=1,IF(D22="PK（自動番号）"," IDENTITY(1,1)","")&amp;" PRIMARY KEY",IF(D22="PK（自動番号）"," IDENTITY(1,1)","")&amp;" NOT NULL"),IF(E22="○"," NULL"," NOT NULL"))&amp;IF(OR(D22="FK",D22="PK＋FK")," REFERENCES "&amp;F22&amp;"("&amp;G22&amp;")","")&amp;IF(OR(B23&lt;&gt;"",COUNTIF($D$17:$D$23,"PK*")&gt;1),",",""))</f>
        <v/>
      </c>
      <c r="K22" t="str">
        <f>IF(LEFT(D22,2)="PK",", "&amp;B22,"")</f>
        <v/>
      </c>
    </row>
    <row r="23" spans="2:11" ht="21" customHeight="1">
      <c r="B23" s="7"/>
      <c r="C23" s="7"/>
      <c r="D23" s="19"/>
      <c r="E23" s="19"/>
      <c r="F23" s="7"/>
      <c r="G23" s="7"/>
      <c r="H23" s="38"/>
      <c r="I23" s="35" t="str">
        <f>IF(OR(J23="",H23=""),"",IF(UPPER(SUBSTITUTE(SUBSTITUTE(TRIM(H23)," ",""),"　",""))=UPPER(SUBSTITUTE(SUBSTITUTE(TRIM(J23)," ",""),"　","")),"○","✗"))</f>
        <v/>
      </c>
      <c r="J23" s="36" t="str">
        <f>IF(B23="","",B23&amp;" "&amp;C23&amp;IF(LEFT(D23,2)="PK",IF(COUNTIF($D$17:$D$23,"PK*")=1,IF(D23="PK（自動番号）"," IDENTITY(1,1)","")&amp;" PRIMARY KEY",IF(D23="PK（自動番号）"," IDENTITY(1,1)","")&amp;" NOT NULL"),IF(E23="○"," NULL"," NOT NULL"))&amp;IF(OR(D23="FK",D23="PK＋FK")," REFERENCES "&amp;F23&amp;"("&amp;G23&amp;")","")&amp;IF(OR(B24&lt;&gt;"",COUNTIF($D$17:$D$23,"PK*")&gt;1),",",""))</f>
        <v/>
      </c>
      <c r="K23" t="str">
        <f>IF(LEFT(D23,2)="PK",", "&amp;B23,"")</f>
        <v/>
      </c>
    </row>
    <row r="24" spans="2:11" ht="21" customHeight="1">
      <c r="B24" s="13"/>
      <c r="C24" s="58" t="s">
        <v>111</v>
      </c>
      <c r="D24" s="58"/>
      <c r="E24" s="58"/>
      <c r="F24" s="58"/>
      <c r="G24" s="58"/>
      <c r="H24" s="38"/>
      <c r="I24" s="35" t="str">
        <f>IF(OR(J24="",H24=""),"",IF(UPPER(SUBSTITUTE(SUBSTITUTE(TRIM(H24)," ",""),"　",""))=UPPER(SUBSTITUTE(SUBSTITUTE(TRIM(J24)," ",""),"　","")),"○","✗"))</f>
        <v/>
      </c>
      <c r="J24" s="36" t="str">
        <f>IF(COUNTIF($D$17:$D$23,"PK*")&gt;1,"PRIMARY KEY ("&amp;MID(K17&amp;K18&amp;K19&amp;K20&amp;K21&amp;K22&amp;K23,3,300)&amp;")","")</f>
        <v/>
      </c>
    </row>
    <row r="25" spans="2:11">
      <c r="H25" s="33" t="s">
        <v>112</v>
      </c>
      <c r="I25" s="59" t="str">
        <f>IF(COUNTA(B17:B23)=0,"",IF(COUNTIF($D$17:$D$23,"PK*")=0,"主キーがありません",IF(COUNTIFS($D$17:$D$23,"*FK",$F$17:$F$23,"")&gt;0,"FKの参照先が空です","")))</f>
        <v/>
      </c>
      <c r="J25" s="59"/>
    </row>
    <row r="26" spans="2:11" ht="15" customHeight="1">
      <c r="B26" s="60" t="s">
        <v>115</v>
      </c>
      <c r="C26" s="60"/>
      <c r="D26" s="60"/>
      <c r="E26" s="60"/>
      <c r="F26" s="60"/>
      <c r="G26" s="60"/>
      <c r="H26" s="60"/>
      <c r="I26" s="60"/>
      <c r="J26" s="60"/>
    </row>
    <row r="27" spans="2:11" ht="15" customHeight="1">
      <c r="B27" s="10" t="s">
        <v>116</v>
      </c>
      <c r="C27" s="61"/>
      <c r="D27" s="61"/>
      <c r="E27" s="52" t="s">
        <v>91</v>
      </c>
      <c r="F27" s="52"/>
      <c r="G27" s="52"/>
    </row>
    <row r="28" spans="2:11" ht="30" customHeight="1">
      <c r="B28" s="25" t="s">
        <v>92</v>
      </c>
      <c r="C28" s="25" t="s">
        <v>93</v>
      </c>
      <c r="D28" s="25" t="s">
        <v>94</v>
      </c>
      <c r="E28" s="25" t="s">
        <v>95</v>
      </c>
      <c r="F28" s="2" t="s">
        <v>96</v>
      </c>
      <c r="G28" s="25" t="s">
        <v>97</v>
      </c>
      <c r="H28" s="25" t="s">
        <v>98</v>
      </c>
      <c r="I28" s="25" t="s">
        <v>99</v>
      </c>
      <c r="J28" s="25" t="s">
        <v>100</v>
      </c>
    </row>
    <row r="29" spans="2:11" ht="15" customHeight="1">
      <c r="B29" s="52" t="s">
        <v>101</v>
      </c>
      <c r="C29" s="52"/>
      <c r="D29" s="52"/>
      <c r="E29" s="52"/>
      <c r="F29" s="52"/>
      <c r="G29" s="52"/>
      <c r="H29" s="33" t="str">
        <f>IF(C27="","（テーブル名を入れると出ます）","CREATE TABLE "&amp;C27&amp;" (")</f>
        <v>（テーブル名を入れると出ます）</v>
      </c>
    </row>
    <row r="30" spans="2:11" ht="21" customHeight="1">
      <c r="B30" s="7"/>
      <c r="C30" s="7"/>
      <c r="D30" s="19"/>
      <c r="E30" s="19"/>
      <c r="F30" s="7"/>
      <c r="G30" s="7"/>
      <c r="H30" s="38"/>
      <c r="I30" s="35" t="str">
        <f>IF(OR(J30="",H30=""),"",IF(UPPER(SUBSTITUTE(SUBSTITUTE(TRIM(H30)," ",""),"　",""))=UPPER(SUBSTITUTE(SUBSTITUTE(TRIM(J30)," ",""),"　","")),"○","✗"))</f>
        <v/>
      </c>
      <c r="J30" s="36" t="str">
        <f>IF(B30="","",B30&amp;" "&amp;C30&amp;IF(LEFT(D30,2)="PK",IF(COUNTIF($D$30:$D$36,"PK*")=1,IF(D30="PK（自動番号）"," IDENTITY(1,1)","")&amp;" PRIMARY KEY",IF(D30="PK（自動番号）"," IDENTITY(1,1)","")&amp;" NOT NULL"),IF(E30="○"," NULL"," NOT NULL"))&amp;IF(OR(D30="FK",D30="PK＋FK")," REFERENCES "&amp;F30&amp;"("&amp;G30&amp;")","")&amp;IF(OR(B31&lt;&gt;"",COUNTIF($D$30:$D$36,"PK*")&gt;1),",",""))</f>
        <v/>
      </c>
      <c r="K30" t="str">
        <f>IF(LEFT(D30,2)="PK",", "&amp;B30,"")</f>
        <v/>
      </c>
    </row>
    <row r="31" spans="2:11" ht="21" customHeight="1">
      <c r="B31" s="7"/>
      <c r="C31" s="7"/>
      <c r="D31" s="19"/>
      <c r="E31" s="19"/>
      <c r="F31" s="7"/>
      <c r="G31" s="7"/>
      <c r="H31" s="38"/>
      <c r="I31" s="35" t="str">
        <f>IF(OR(J31="",H31=""),"",IF(UPPER(SUBSTITUTE(SUBSTITUTE(TRIM(H31)," ",""),"　",""))=UPPER(SUBSTITUTE(SUBSTITUTE(TRIM(J31)," ",""),"　","")),"○","✗"))</f>
        <v/>
      </c>
      <c r="J31" s="36" t="str">
        <f>IF(B31="","",B31&amp;" "&amp;C31&amp;IF(LEFT(D31,2)="PK",IF(COUNTIF($D$30:$D$36,"PK*")=1,IF(D31="PK（自動番号）"," IDENTITY(1,1)","")&amp;" PRIMARY KEY",IF(D31="PK（自動番号）"," IDENTITY(1,1)","")&amp;" NOT NULL"),IF(E31="○"," NULL"," NOT NULL"))&amp;IF(OR(D31="FK",D31="PK＋FK")," REFERENCES "&amp;F31&amp;"("&amp;G31&amp;")","")&amp;IF(OR(B32&lt;&gt;"",COUNTIF($D$30:$D$36,"PK*")&gt;1),",",""))</f>
        <v/>
      </c>
      <c r="K31" t="str">
        <f>IF(LEFT(D31,2)="PK",", "&amp;B31,"")</f>
        <v/>
      </c>
    </row>
    <row r="32" spans="2:11" ht="21" customHeight="1">
      <c r="B32" s="7"/>
      <c r="C32" s="7"/>
      <c r="D32" s="19"/>
      <c r="E32" s="19"/>
      <c r="F32" s="7"/>
      <c r="G32" s="7"/>
      <c r="H32" s="38"/>
      <c r="I32" s="35" t="str">
        <f>IF(OR(J32="",H32=""),"",IF(UPPER(SUBSTITUTE(SUBSTITUTE(TRIM(H32)," ",""),"　",""))=UPPER(SUBSTITUTE(SUBSTITUTE(TRIM(J32)," ",""),"　","")),"○","✗"))</f>
        <v/>
      </c>
      <c r="J32" s="36" t="str">
        <f>IF(B32="","",B32&amp;" "&amp;C32&amp;IF(LEFT(D32,2)="PK",IF(COUNTIF($D$30:$D$36,"PK*")=1,IF(D32="PK（自動番号）"," IDENTITY(1,1)","")&amp;" PRIMARY KEY",IF(D32="PK（自動番号）"," IDENTITY(1,1)","")&amp;" NOT NULL"),IF(E32="○"," NULL"," NOT NULL"))&amp;IF(OR(D32="FK",D32="PK＋FK")," REFERENCES "&amp;F32&amp;"("&amp;G32&amp;")","")&amp;IF(OR(B33&lt;&gt;"",COUNTIF($D$30:$D$36,"PK*")&gt;1),",",""))</f>
        <v/>
      </c>
      <c r="K32" t="str">
        <f>IF(LEFT(D32,2)="PK",", "&amp;B32,"")</f>
        <v/>
      </c>
    </row>
    <row r="33" spans="2:11" ht="21" customHeight="1">
      <c r="B33" s="7"/>
      <c r="C33" s="7"/>
      <c r="D33" s="19"/>
      <c r="E33" s="19"/>
      <c r="F33" s="7"/>
      <c r="G33" s="7"/>
      <c r="H33" s="38"/>
      <c r="I33" s="35" t="str">
        <f>IF(OR(J33="",H33=""),"",IF(UPPER(SUBSTITUTE(SUBSTITUTE(TRIM(H33)," ",""),"　",""))=UPPER(SUBSTITUTE(SUBSTITUTE(TRIM(J33)," ",""),"　","")),"○","✗"))</f>
        <v/>
      </c>
      <c r="J33" s="36" t="str">
        <f>IF(B33="","",B33&amp;" "&amp;C33&amp;IF(LEFT(D33,2)="PK",IF(COUNTIF($D$30:$D$36,"PK*")=1,IF(D33="PK（自動番号）"," IDENTITY(1,1)","")&amp;" PRIMARY KEY",IF(D33="PK（自動番号）"," IDENTITY(1,1)","")&amp;" NOT NULL"),IF(E33="○"," NULL"," NOT NULL"))&amp;IF(OR(D33="FK",D33="PK＋FK")," REFERENCES "&amp;F33&amp;"("&amp;G33&amp;")","")&amp;IF(OR(B34&lt;&gt;"",COUNTIF($D$30:$D$36,"PK*")&gt;1),",",""))</f>
        <v/>
      </c>
      <c r="K33" t="str">
        <f>IF(LEFT(D33,2)="PK",", "&amp;B33,"")</f>
        <v/>
      </c>
    </row>
    <row r="34" spans="2:11" ht="21" customHeight="1">
      <c r="B34" s="7"/>
      <c r="C34" s="7"/>
      <c r="D34" s="19"/>
      <c r="E34" s="19"/>
      <c r="F34" s="7"/>
      <c r="G34" s="7"/>
      <c r="H34" s="38"/>
      <c r="I34" s="35" t="str">
        <f>IF(OR(J34="",H34=""),"",IF(UPPER(SUBSTITUTE(SUBSTITUTE(TRIM(H34)," ",""),"　",""))=UPPER(SUBSTITUTE(SUBSTITUTE(TRIM(J34)," ",""),"　","")),"○","✗"))</f>
        <v/>
      </c>
      <c r="J34" s="36" t="str">
        <f>IF(B34="","",B34&amp;" "&amp;C34&amp;IF(LEFT(D34,2)="PK",IF(COUNTIF($D$30:$D$36,"PK*")=1,IF(D34="PK（自動番号）"," IDENTITY(1,1)","")&amp;" PRIMARY KEY",IF(D34="PK（自動番号）"," IDENTITY(1,1)","")&amp;" NOT NULL"),IF(E34="○"," NULL"," NOT NULL"))&amp;IF(OR(D34="FK",D34="PK＋FK")," REFERENCES "&amp;F34&amp;"("&amp;G34&amp;")","")&amp;IF(OR(B35&lt;&gt;"",COUNTIF($D$30:$D$36,"PK*")&gt;1),",",""))</f>
        <v/>
      </c>
      <c r="K34" t="str">
        <f>IF(LEFT(D34,2)="PK",", "&amp;B34,"")</f>
        <v/>
      </c>
    </row>
    <row r="35" spans="2:11" ht="21" customHeight="1">
      <c r="B35" s="7"/>
      <c r="C35" s="7"/>
      <c r="D35" s="19"/>
      <c r="E35" s="19"/>
      <c r="F35" s="7"/>
      <c r="G35" s="7"/>
      <c r="H35" s="38"/>
      <c r="I35" s="35" t="str">
        <f>IF(OR(J35="",H35=""),"",IF(UPPER(SUBSTITUTE(SUBSTITUTE(TRIM(H35)," ",""),"　",""))=UPPER(SUBSTITUTE(SUBSTITUTE(TRIM(J35)," ",""),"　","")),"○","✗"))</f>
        <v/>
      </c>
      <c r="J35" s="36" t="str">
        <f>IF(B35="","",B35&amp;" "&amp;C35&amp;IF(LEFT(D35,2)="PK",IF(COUNTIF($D$30:$D$36,"PK*")=1,IF(D35="PK（自動番号）"," IDENTITY(1,1)","")&amp;" PRIMARY KEY",IF(D35="PK（自動番号）"," IDENTITY(1,1)","")&amp;" NOT NULL"),IF(E35="○"," NULL"," NOT NULL"))&amp;IF(OR(D35="FK",D35="PK＋FK")," REFERENCES "&amp;F35&amp;"("&amp;G35&amp;")","")&amp;IF(OR(B36&lt;&gt;"",COUNTIF($D$30:$D$36,"PK*")&gt;1),",",""))</f>
        <v/>
      </c>
      <c r="K35" t="str">
        <f>IF(LEFT(D35,2)="PK",", "&amp;B35,"")</f>
        <v/>
      </c>
    </row>
    <row r="36" spans="2:11" ht="21" customHeight="1">
      <c r="B36" s="7"/>
      <c r="C36" s="7"/>
      <c r="D36" s="19"/>
      <c r="E36" s="19"/>
      <c r="F36" s="7"/>
      <c r="G36" s="7"/>
      <c r="H36" s="38"/>
      <c r="I36" s="35" t="str">
        <f>IF(OR(J36="",H36=""),"",IF(UPPER(SUBSTITUTE(SUBSTITUTE(TRIM(H36)," ",""),"　",""))=UPPER(SUBSTITUTE(SUBSTITUTE(TRIM(J36)," ",""),"　","")),"○","✗"))</f>
        <v/>
      </c>
      <c r="J36" s="36" t="str">
        <f>IF(B36="","",B36&amp;" "&amp;C36&amp;IF(LEFT(D36,2)="PK",IF(COUNTIF($D$30:$D$36,"PK*")=1,IF(D36="PK（自動番号）"," IDENTITY(1,1)","")&amp;" PRIMARY KEY",IF(D36="PK（自動番号）"," IDENTITY(1,1)","")&amp;" NOT NULL"),IF(E36="○"," NULL"," NOT NULL"))&amp;IF(OR(D36="FK",D36="PK＋FK")," REFERENCES "&amp;F36&amp;"("&amp;G36&amp;")","")&amp;IF(OR(B37&lt;&gt;"",COUNTIF($D$30:$D$36,"PK*")&gt;1),",",""))</f>
        <v/>
      </c>
      <c r="K36" t="str">
        <f>IF(LEFT(D36,2)="PK",", "&amp;B36,"")</f>
        <v/>
      </c>
    </row>
    <row r="37" spans="2:11" ht="21" customHeight="1">
      <c r="B37" s="13"/>
      <c r="C37" s="58" t="s">
        <v>111</v>
      </c>
      <c r="D37" s="58"/>
      <c r="E37" s="58"/>
      <c r="F37" s="58"/>
      <c r="G37" s="58"/>
      <c r="H37" s="38"/>
      <c r="I37" s="35" t="str">
        <f>IF(OR(J37="",H37=""),"",IF(UPPER(SUBSTITUTE(SUBSTITUTE(TRIM(H37)," ",""),"　",""))=UPPER(SUBSTITUTE(SUBSTITUTE(TRIM(J37)," ",""),"　","")),"○","✗"))</f>
        <v/>
      </c>
      <c r="J37" s="36" t="str">
        <f>IF(COUNTIF($D$30:$D$36,"PK*")&gt;1,"PRIMARY KEY ("&amp;MID(K30&amp;K31&amp;K32&amp;K33&amp;K34&amp;K35&amp;K36,3,300)&amp;")","")</f>
        <v/>
      </c>
    </row>
    <row r="38" spans="2:11">
      <c r="H38" s="33" t="s">
        <v>112</v>
      </c>
      <c r="I38" s="59" t="str">
        <f>IF(COUNTA(B30:B36)=0,"",IF(COUNTIF($D$30:$D$36,"PK*")=0,"主キーがありません",IF(COUNTIFS($D$30:$D$36,"*FK",$F$30:$F$36,"")&gt;0,"FKの参照先が空です","")))</f>
        <v/>
      </c>
      <c r="J38" s="59"/>
    </row>
    <row r="39" spans="2:11" ht="15" customHeight="1">
      <c r="B39" s="60" t="s">
        <v>117</v>
      </c>
      <c r="C39" s="60"/>
      <c r="D39" s="60"/>
      <c r="E39" s="60"/>
      <c r="F39" s="60"/>
      <c r="G39" s="60"/>
      <c r="H39" s="60"/>
      <c r="I39" s="60"/>
      <c r="J39" s="60"/>
    </row>
    <row r="40" spans="2:11" ht="15" customHeight="1">
      <c r="B40" s="10" t="s">
        <v>118</v>
      </c>
      <c r="C40" s="61"/>
      <c r="D40" s="61"/>
      <c r="E40" s="52" t="s">
        <v>91</v>
      </c>
      <c r="F40" s="52"/>
      <c r="G40" s="52"/>
    </row>
    <row r="41" spans="2:11" ht="30" customHeight="1">
      <c r="B41" s="25" t="s">
        <v>92</v>
      </c>
      <c r="C41" s="25" t="s">
        <v>93</v>
      </c>
      <c r="D41" s="25" t="s">
        <v>94</v>
      </c>
      <c r="E41" s="25" t="s">
        <v>95</v>
      </c>
      <c r="F41" s="2" t="s">
        <v>96</v>
      </c>
      <c r="G41" s="25" t="s">
        <v>97</v>
      </c>
      <c r="H41" s="25" t="s">
        <v>98</v>
      </c>
      <c r="I41" s="25" t="s">
        <v>99</v>
      </c>
      <c r="J41" s="25" t="s">
        <v>100</v>
      </c>
    </row>
    <row r="42" spans="2:11" ht="15" customHeight="1">
      <c r="B42" s="52" t="s">
        <v>101</v>
      </c>
      <c r="C42" s="52"/>
      <c r="D42" s="52"/>
      <c r="E42" s="52"/>
      <c r="F42" s="52"/>
      <c r="G42" s="52"/>
      <c r="H42" s="33" t="str">
        <f>IF(C40="","（テーブル名を入れると出ます）","CREATE TABLE "&amp;C40&amp;" (")</f>
        <v>（テーブル名を入れると出ます）</v>
      </c>
    </row>
    <row r="43" spans="2:11" ht="21" customHeight="1">
      <c r="B43" s="7"/>
      <c r="C43" s="7"/>
      <c r="D43" s="19"/>
      <c r="E43" s="19"/>
      <c r="F43" s="7"/>
      <c r="G43" s="7"/>
      <c r="H43" s="38"/>
      <c r="I43" s="35" t="str">
        <f>IF(OR(J43="",H43=""),"",IF(UPPER(SUBSTITUTE(SUBSTITUTE(TRIM(H43)," ",""),"　",""))=UPPER(SUBSTITUTE(SUBSTITUTE(TRIM(J43)," ",""),"　","")),"○","✗"))</f>
        <v/>
      </c>
      <c r="J43" s="36" t="str">
        <f>IF(B43="","",B43&amp;" "&amp;C43&amp;IF(LEFT(D43,2)="PK",IF(COUNTIF($D$43:$D$49,"PK*")=1,IF(D43="PK（自動番号）"," IDENTITY(1,1)","")&amp;" PRIMARY KEY",IF(D43="PK（自動番号）"," IDENTITY(1,1)","")&amp;" NOT NULL"),IF(E43="○"," NULL"," NOT NULL"))&amp;IF(OR(D43="FK",D43="PK＋FK")," REFERENCES "&amp;F43&amp;"("&amp;G43&amp;")","")&amp;IF(OR(B44&lt;&gt;"",COUNTIF($D$43:$D$49,"PK*")&gt;1),",",""))</f>
        <v/>
      </c>
      <c r="K43" t="str">
        <f>IF(LEFT(D43,2)="PK",", "&amp;B43,"")</f>
        <v/>
      </c>
    </row>
    <row r="44" spans="2:11" ht="21" customHeight="1">
      <c r="B44" s="7"/>
      <c r="C44" s="7"/>
      <c r="D44" s="19"/>
      <c r="E44" s="19"/>
      <c r="F44" s="7"/>
      <c r="G44" s="7"/>
      <c r="H44" s="38"/>
      <c r="I44" s="35" t="str">
        <f>IF(OR(J44="",H44=""),"",IF(UPPER(SUBSTITUTE(SUBSTITUTE(TRIM(H44)," ",""),"　",""))=UPPER(SUBSTITUTE(SUBSTITUTE(TRIM(J44)," ",""),"　","")),"○","✗"))</f>
        <v/>
      </c>
      <c r="J44" s="36" t="str">
        <f>IF(B44="","",B44&amp;" "&amp;C44&amp;IF(LEFT(D44,2)="PK",IF(COUNTIF($D$43:$D$49,"PK*")=1,IF(D44="PK（自動番号）"," IDENTITY(1,1)","")&amp;" PRIMARY KEY",IF(D44="PK（自動番号）"," IDENTITY(1,1)","")&amp;" NOT NULL"),IF(E44="○"," NULL"," NOT NULL"))&amp;IF(OR(D44="FK",D44="PK＋FK")," REFERENCES "&amp;F44&amp;"("&amp;G44&amp;")","")&amp;IF(OR(B45&lt;&gt;"",COUNTIF($D$43:$D$49,"PK*")&gt;1),",",""))</f>
        <v/>
      </c>
      <c r="K44" t="str">
        <f>IF(LEFT(D44,2)="PK",", "&amp;B44,"")</f>
        <v/>
      </c>
    </row>
    <row r="45" spans="2:11" ht="21" customHeight="1">
      <c r="B45" s="7"/>
      <c r="C45" s="7"/>
      <c r="D45" s="19"/>
      <c r="E45" s="19"/>
      <c r="F45" s="7"/>
      <c r="G45" s="7"/>
      <c r="H45" s="38"/>
      <c r="I45" s="35" t="str">
        <f>IF(OR(J45="",H45=""),"",IF(UPPER(SUBSTITUTE(SUBSTITUTE(TRIM(H45)," ",""),"　",""))=UPPER(SUBSTITUTE(SUBSTITUTE(TRIM(J45)," ",""),"　","")),"○","✗"))</f>
        <v/>
      </c>
      <c r="J45" s="36" t="str">
        <f>IF(B45="","",B45&amp;" "&amp;C45&amp;IF(LEFT(D45,2)="PK",IF(COUNTIF($D$43:$D$49,"PK*")=1,IF(D45="PK（自動番号）"," IDENTITY(1,1)","")&amp;" PRIMARY KEY",IF(D45="PK（自動番号）"," IDENTITY(1,1)","")&amp;" NOT NULL"),IF(E45="○"," NULL"," NOT NULL"))&amp;IF(OR(D45="FK",D45="PK＋FK")," REFERENCES "&amp;F45&amp;"("&amp;G45&amp;")","")&amp;IF(OR(B46&lt;&gt;"",COUNTIF($D$43:$D$49,"PK*")&gt;1),",",""))</f>
        <v/>
      </c>
      <c r="K45" t="str">
        <f>IF(LEFT(D45,2)="PK",", "&amp;B45,"")</f>
        <v/>
      </c>
    </row>
    <row r="46" spans="2:11" ht="21" customHeight="1">
      <c r="B46" s="7"/>
      <c r="C46" s="7"/>
      <c r="D46" s="19"/>
      <c r="E46" s="19"/>
      <c r="F46" s="7"/>
      <c r="G46" s="7"/>
      <c r="H46" s="38"/>
      <c r="I46" s="35" t="str">
        <f>IF(OR(J46="",H46=""),"",IF(UPPER(SUBSTITUTE(SUBSTITUTE(TRIM(H46)," ",""),"　",""))=UPPER(SUBSTITUTE(SUBSTITUTE(TRIM(J46)," ",""),"　","")),"○","✗"))</f>
        <v/>
      </c>
      <c r="J46" s="36" t="str">
        <f>IF(B46="","",B46&amp;" "&amp;C46&amp;IF(LEFT(D46,2)="PK",IF(COUNTIF($D$43:$D$49,"PK*")=1,IF(D46="PK（自動番号）"," IDENTITY(1,1)","")&amp;" PRIMARY KEY",IF(D46="PK（自動番号）"," IDENTITY(1,1)","")&amp;" NOT NULL"),IF(E46="○"," NULL"," NOT NULL"))&amp;IF(OR(D46="FK",D46="PK＋FK")," REFERENCES "&amp;F46&amp;"("&amp;G46&amp;")","")&amp;IF(OR(B47&lt;&gt;"",COUNTIF($D$43:$D$49,"PK*")&gt;1),",",""))</f>
        <v/>
      </c>
      <c r="K46" t="str">
        <f>IF(LEFT(D46,2)="PK",", "&amp;B46,"")</f>
        <v/>
      </c>
    </row>
    <row r="47" spans="2:11" ht="21" customHeight="1">
      <c r="B47" s="7"/>
      <c r="C47" s="7"/>
      <c r="D47" s="19"/>
      <c r="E47" s="19"/>
      <c r="F47" s="7"/>
      <c r="G47" s="7"/>
      <c r="H47" s="38"/>
      <c r="I47" s="35" t="str">
        <f>IF(OR(J47="",H47=""),"",IF(UPPER(SUBSTITUTE(SUBSTITUTE(TRIM(H47)," ",""),"　",""))=UPPER(SUBSTITUTE(SUBSTITUTE(TRIM(J47)," ",""),"　","")),"○","✗"))</f>
        <v/>
      </c>
      <c r="J47" s="36" t="str">
        <f>IF(B47="","",B47&amp;" "&amp;C47&amp;IF(LEFT(D47,2)="PK",IF(COUNTIF($D$43:$D$49,"PK*")=1,IF(D47="PK（自動番号）"," IDENTITY(1,1)","")&amp;" PRIMARY KEY",IF(D47="PK（自動番号）"," IDENTITY(1,1)","")&amp;" NOT NULL"),IF(E47="○"," NULL"," NOT NULL"))&amp;IF(OR(D47="FK",D47="PK＋FK")," REFERENCES "&amp;F47&amp;"("&amp;G47&amp;")","")&amp;IF(OR(B48&lt;&gt;"",COUNTIF($D$43:$D$49,"PK*")&gt;1),",",""))</f>
        <v/>
      </c>
      <c r="K47" t="str">
        <f>IF(LEFT(D47,2)="PK",", "&amp;B47,"")</f>
        <v/>
      </c>
    </row>
    <row r="48" spans="2:11" ht="21" customHeight="1">
      <c r="B48" s="7"/>
      <c r="C48" s="7"/>
      <c r="D48" s="19"/>
      <c r="E48" s="19"/>
      <c r="F48" s="7"/>
      <c r="G48" s="7"/>
      <c r="H48" s="38"/>
      <c r="I48" s="35" t="str">
        <f>IF(OR(J48="",H48=""),"",IF(UPPER(SUBSTITUTE(SUBSTITUTE(TRIM(H48)," ",""),"　",""))=UPPER(SUBSTITUTE(SUBSTITUTE(TRIM(J48)," ",""),"　","")),"○","✗"))</f>
        <v/>
      </c>
      <c r="J48" s="36" t="str">
        <f>IF(B48="","",B48&amp;" "&amp;C48&amp;IF(LEFT(D48,2)="PK",IF(COUNTIF($D$43:$D$49,"PK*")=1,IF(D48="PK（自動番号）"," IDENTITY(1,1)","")&amp;" PRIMARY KEY",IF(D48="PK（自動番号）"," IDENTITY(1,1)","")&amp;" NOT NULL"),IF(E48="○"," NULL"," NOT NULL"))&amp;IF(OR(D48="FK",D48="PK＋FK")," REFERENCES "&amp;F48&amp;"("&amp;G48&amp;")","")&amp;IF(OR(B49&lt;&gt;"",COUNTIF($D$43:$D$49,"PK*")&gt;1),",",""))</f>
        <v/>
      </c>
      <c r="K48" t="str">
        <f>IF(LEFT(D48,2)="PK",", "&amp;B48,"")</f>
        <v/>
      </c>
    </row>
    <row r="49" spans="2:11" ht="21" customHeight="1">
      <c r="B49" s="7"/>
      <c r="C49" s="7"/>
      <c r="D49" s="19"/>
      <c r="E49" s="19"/>
      <c r="F49" s="7"/>
      <c r="G49" s="7"/>
      <c r="H49" s="38"/>
      <c r="I49" s="35" t="str">
        <f>IF(OR(J49="",H49=""),"",IF(UPPER(SUBSTITUTE(SUBSTITUTE(TRIM(H49)," ",""),"　",""))=UPPER(SUBSTITUTE(SUBSTITUTE(TRIM(J49)," ",""),"　","")),"○","✗"))</f>
        <v/>
      </c>
      <c r="J49" s="36" t="str">
        <f>IF(B49="","",B49&amp;" "&amp;C49&amp;IF(LEFT(D49,2)="PK",IF(COUNTIF($D$43:$D$49,"PK*")=1,IF(D49="PK（自動番号）"," IDENTITY(1,1)","")&amp;" PRIMARY KEY",IF(D49="PK（自動番号）"," IDENTITY(1,1)","")&amp;" NOT NULL"),IF(E49="○"," NULL"," NOT NULL"))&amp;IF(OR(D49="FK",D49="PK＋FK")," REFERENCES "&amp;F49&amp;"("&amp;G49&amp;")","")&amp;IF(OR(B50&lt;&gt;"",COUNTIF($D$43:$D$49,"PK*")&gt;1),",",""))</f>
        <v/>
      </c>
      <c r="K49" t="str">
        <f>IF(LEFT(D49,2)="PK",", "&amp;B49,"")</f>
        <v/>
      </c>
    </row>
    <row r="50" spans="2:11" ht="21" customHeight="1">
      <c r="B50" s="13"/>
      <c r="C50" s="58" t="s">
        <v>111</v>
      </c>
      <c r="D50" s="58"/>
      <c r="E50" s="58"/>
      <c r="F50" s="58"/>
      <c r="G50" s="58"/>
      <c r="H50" s="38"/>
      <c r="I50" s="35" t="str">
        <f>IF(OR(J50="",H50=""),"",IF(UPPER(SUBSTITUTE(SUBSTITUTE(TRIM(H50)," ",""),"　",""))=UPPER(SUBSTITUTE(SUBSTITUTE(TRIM(J50)," ",""),"　","")),"○","✗"))</f>
        <v/>
      </c>
      <c r="J50" s="36" t="str">
        <f>IF(COUNTIF($D$43:$D$49,"PK*")&gt;1,"PRIMARY KEY ("&amp;MID(K43&amp;K44&amp;K45&amp;K46&amp;K47&amp;K48&amp;K49,3,300)&amp;")","")</f>
        <v/>
      </c>
    </row>
    <row r="51" spans="2:11">
      <c r="H51" s="33" t="s">
        <v>112</v>
      </c>
      <c r="I51" s="59" t="str">
        <f>IF(COUNTA(B43:B49)=0,"",IF(COUNTIF($D$43:$D$49,"PK*")=0,"主キーがありません",IF(COUNTIFS($D$43:$D$49,"*FK",$F$43:$F$49,"")&gt;0,"FKの参照先が空です","")))</f>
        <v/>
      </c>
      <c r="J51" s="59"/>
    </row>
    <row r="52" spans="2:11" ht="15" customHeight="1">
      <c r="B52" s="52" t="s">
        <v>119</v>
      </c>
      <c r="C52" s="52"/>
      <c r="D52" s="52"/>
      <c r="E52" s="52"/>
      <c r="F52" s="52"/>
      <c r="G52" s="52"/>
      <c r="H52" s="52"/>
      <c r="I52" s="52"/>
      <c r="J52" s="52"/>
    </row>
    <row r="53" spans="2:11" ht="18" customHeight="1">
      <c r="B53" s="52"/>
      <c r="C53" s="52"/>
      <c r="D53" s="52"/>
      <c r="E53" s="52"/>
      <c r="F53" s="52"/>
      <c r="G53" s="52"/>
      <c r="H53" s="52"/>
      <c r="I53" s="52"/>
      <c r="J53" s="52"/>
    </row>
  </sheetData>
  <mergeCells count="26">
    <mergeCell ref="B3:J3"/>
    <mergeCell ref="B4:J4"/>
    <mergeCell ref="C5:D5"/>
    <mergeCell ref="E5:G5"/>
    <mergeCell ref="B7:G7"/>
    <mergeCell ref="C11:G11"/>
    <mergeCell ref="I12:J12"/>
    <mergeCell ref="B13:J13"/>
    <mergeCell ref="C14:D14"/>
    <mergeCell ref="E14:G14"/>
    <mergeCell ref="B16:G16"/>
    <mergeCell ref="C24:G24"/>
    <mergeCell ref="I25:J25"/>
    <mergeCell ref="B26:J26"/>
    <mergeCell ref="C27:D27"/>
    <mergeCell ref="E27:G27"/>
    <mergeCell ref="B42:G42"/>
    <mergeCell ref="C50:G50"/>
    <mergeCell ref="I51:J51"/>
    <mergeCell ref="B52:J53"/>
    <mergeCell ref="B29:G29"/>
    <mergeCell ref="C37:G37"/>
    <mergeCell ref="I38:J38"/>
    <mergeCell ref="B39:J39"/>
    <mergeCell ref="C40:D40"/>
    <mergeCell ref="E40:G40"/>
  </mergeCells>
  <conditionalFormatting sqref="I8:I11">
    <cfRule type="cellIs" dxfId="7" priority="2" operator="equal">
      <formula>"○"</formula>
    </cfRule>
    <cfRule type="cellIs" dxfId="6" priority="3" operator="equal">
      <formula>"✗"</formula>
    </cfRule>
  </conditionalFormatting>
  <conditionalFormatting sqref="I17:I24">
    <cfRule type="cellIs" dxfId="5" priority="4" operator="equal">
      <formula>"○"</formula>
    </cfRule>
    <cfRule type="cellIs" dxfId="4" priority="5" operator="equal">
      <formula>"✗"</formula>
    </cfRule>
  </conditionalFormatting>
  <conditionalFormatting sqref="I30:I37">
    <cfRule type="cellIs" dxfId="3" priority="6" operator="equal">
      <formula>"○"</formula>
    </cfRule>
    <cfRule type="cellIs" dxfId="2" priority="7" operator="equal">
      <formula>"✗"</formula>
    </cfRule>
  </conditionalFormatting>
  <conditionalFormatting sqref="I43:I50">
    <cfRule type="cellIs" dxfId="1" priority="8" operator="equal">
      <formula>"○"</formula>
    </cfRule>
    <cfRule type="cellIs" dxfId="0" priority="9" operator="equal">
      <formula>"✗"</formula>
    </cfRule>
  </conditionalFormatting>
  <dataValidations count="3">
    <dataValidation type="list" allowBlank="1" showInputMessage="1" prompt="リストに無い型（DECIMAL(10,2) など）は直接入力してOK" sqref="C8:C10 C17:C23 C30:C36 C43:C49" xr:uid="{00000000-0002-0000-0200-000000000000}">
      <formula1>"INT,BIGINT,TINYINT,NVARCHAR(20),NVARCHAR(50),NVARCHAR(100),NVARCHAR(MAX),DATE,DATETIME2,TIME,BIT"</formula1>
      <formula2>0</formula2>
    </dataValidation>
    <dataValidation type="list" allowBlank="1" sqref="D8:D10 D17:D23 D30:D36 D43:D49" xr:uid="{00000000-0002-0000-0200-000001000000}">
      <formula1>"PK（自動番号）,PK,FK,PK＋FK"</formula1>
      <formula2>0</formula2>
    </dataValidation>
    <dataValidation type="list" allowBlank="1" sqref="E8:E10 E17:E23 E30:E36 E43:E49" xr:uid="{00000000-0002-0000-0200-000002000000}">
      <formula1>"×,○"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E21"/>
  <sheetViews>
    <sheetView showGridLines="0" zoomScaleNormal="100" workbookViewId="0"/>
  </sheetViews>
  <sheetFormatPr defaultColWidth="8.7109375" defaultRowHeight="15"/>
  <cols>
    <col min="1" max="1" width="2" customWidth="1"/>
    <col min="2" max="2" width="6" customWidth="1"/>
    <col min="3" max="3" width="40" customWidth="1"/>
    <col min="4" max="4" width="12" customWidth="1"/>
    <col min="5" max="5" width="50" customWidth="1"/>
  </cols>
  <sheetData>
    <row r="1" spans="2:5" ht="30" customHeight="1">
      <c r="B1" s="39" t="s">
        <v>120</v>
      </c>
    </row>
    <row r="2" spans="2:5">
      <c r="B2" s="17" t="s">
        <v>121</v>
      </c>
    </row>
    <row r="4" spans="2:5" ht="17.100000000000001">
      <c r="B4" s="40" t="s">
        <v>122</v>
      </c>
    </row>
    <row r="5" spans="2:5" ht="21.75" customHeight="1">
      <c r="B5" s="1" t="s">
        <v>74</v>
      </c>
      <c r="C5" s="1" t="s">
        <v>123</v>
      </c>
      <c r="D5" s="41" t="s">
        <v>124</v>
      </c>
      <c r="E5" s="41" t="s">
        <v>125</v>
      </c>
    </row>
    <row r="6" spans="2:5" ht="30" customHeight="1">
      <c r="B6" s="26" t="s">
        <v>79</v>
      </c>
      <c r="C6" s="27" t="s">
        <v>126</v>
      </c>
      <c r="D6" s="26" t="s">
        <v>127</v>
      </c>
      <c r="E6" s="27" t="s">
        <v>128</v>
      </c>
    </row>
    <row r="7" spans="2:5" ht="48" customHeight="1">
      <c r="B7" s="29">
        <v>1</v>
      </c>
      <c r="C7" s="7"/>
      <c r="D7" s="19"/>
      <c r="E7" s="7"/>
    </row>
    <row r="8" spans="2:5" ht="48" customHeight="1">
      <c r="B8" s="29">
        <v>2</v>
      </c>
      <c r="C8" s="7"/>
      <c r="D8" s="19"/>
      <c r="E8" s="7"/>
    </row>
    <row r="9" spans="2:5" ht="48" customHeight="1">
      <c r="B9" s="29">
        <v>3</v>
      </c>
      <c r="C9" s="7"/>
      <c r="D9" s="19"/>
      <c r="E9" s="7"/>
    </row>
    <row r="10" spans="2:5">
      <c r="B10" s="23" t="s">
        <v>129</v>
      </c>
      <c r="C10" s="66" t="str">
        <f>IF(COUNTIFS(D7:D9,"&lt;&gt;",E7:E9,"")&gt;0,"採否を選んだのに理由が空の行があります","")</f>
        <v/>
      </c>
      <c r="D10" s="66"/>
      <c r="E10" s="66"/>
    </row>
    <row r="11" spans="2:5" ht="15" customHeight="1">
      <c r="B11" s="52" t="s">
        <v>130</v>
      </c>
      <c r="C11" s="52"/>
      <c r="D11" s="52"/>
      <c r="E11" s="52"/>
    </row>
    <row r="13" spans="2:5" ht="17.100000000000001">
      <c r="B13" s="40" t="s">
        <v>131</v>
      </c>
    </row>
    <row r="14" spans="2:5" ht="21.75" customHeight="1">
      <c r="B14" s="41"/>
      <c r="C14" s="41" t="s">
        <v>132</v>
      </c>
      <c r="D14" s="41"/>
      <c r="E14" s="41" t="s">
        <v>133</v>
      </c>
    </row>
    <row r="15" spans="2:5" ht="25.5" customHeight="1">
      <c r="B15" s="29">
        <v>1</v>
      </c>
      <c r="C15" s="67" t="s">
        <v>134</v>
      </c>
      <c r="D15" s="67"/>
      <c r="E15" s="7"/>
    </row>
    <row r="16" spans="2:5" ht="25.5" customHeight="1">
      <c r="B16" s="29">
        <v>2</v>
      </c>
      <c r="C16" s="67" t="s">
        <v>135</v>
      </c>
      <c r="D16" s="67"/>
      <c r="E16" s="7"/>
    </row>
    <row r="17" spans="2:5" ht="48" customHeight="1">
      <c r="B17" s="29">
        <v>3</v>
      </c>
      <c r="C17" s="67" t="s">
        <v>136</v>
      </c>
      <c r="D17" s="67"/>
      <c r="E17" s="7"/>
    </row>
    <row r="18" spans="2:5" ht="25.5" customHeight="1">
      <c r="B18" s="29">
        <v>4</v>
      </c>
      <c r="C18" s="65" t="s">
        <v>137</v>
      </c>
      <c r="D18" s="65"/>
      <c r="E18" s="7"/>
    </row>
    <row r="20" spans="2:5" ht="21.75" customHeight="1">
      <c r="B20" s="62" t="s">
        <v>138</v>
      </c>
      <c r="C20" s="62"/>
      <c r="D20" s="62"/>
      <c r="E20" s="62"/>
    </row>
    <row r="21" spans="2:5" ht="21.75" customHeight="1">
      <c r="B21" s="62"/>
      <c r="C21" s="62"/>
      <c r="D21" s="62"/>
      <c r="E21" s="62"/>
    </row>
  </sheetData>
  <mergeCells count="7">
    <mergeCell ref="C18:D18"/>
    <mergeCell ref="B20:E21"/>
    <mergeCell ref="C10:E10"/>
    <mergeCell ref="B11:E11"/>
    <mergeCell ref="C15:D15"/>
    <mergeCell ref="C16:D16"/>
    <mergeCell ref="C17:D17"/>
  </mergeCells>
  <dataValidations count="3">
    <dataValidation type="list" allowBlank="1" sqref="D7:D9" xr:uid="{00000000-0002-0000-0300-000000000000}">
      <formula1>"採用,不採用"</formula1>
      <formula2>0</formula2>
    </dataValidation>
    <dataValidation type="list" allowBlank="1" sqref="E16" xr:uid="{00000000-0002-0000-0300-000001000000}">
      <formula1>"同じ,違う→直した,違う→まだ"</formula1>
      <formula2>0</formula2>
    </dataValidation>
    <dataValidation type="list" allowBlank="1" sqref="E18" xr:uid="{00000000-0002-0000-0300-000002000000}">
      <formula1>"なかった,あった→止めた,あった→そのまま進めた"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D24"/>
  <sheetViews>
    <sheetView showGridLines="0" zoomScaleNormal="100" workbookViewId="0"/>
  </sheetViews>
  <sheetFormatPr defaultColWidth="8.7109375" defaultRowHeight="15"/>
  <cols>
    <col min="1" max="1" width="2" customWidth="1"/>
    <col min="2" max="2" width="26" customWidth="1"/>
    <col min="3" max="3" width="52" customWidth="1"/>
    <col min="4" max="4" width="30" customWidth="1"/>
  </cols>
  <sheetData>
    <row r="1" spans="2:4" ht="30" customHeight="1">
      <c r="B1" s="42" t="s">
        <v>139</v>
      </c>
    </row>
    <row r="2" spans="2:4">
      <c r="B2" s="9" t="s">
        <v>140</v>
      </c>
    </row>
    <row r="4" spans="2:4" ht="17.100000000000001">
      <c r="B4" s="43" t="s">
        <v>141</v>
      </c>
    </row>
    <row r="5" spans="2:4">
      <c r="B5" s="10" t="s">
        <v>142</v>
      </c>
      <c r="C5" s="51" t="str">
        <f>CP・棚卸し!C30</f>
        <v>CP1の途中</v>
      </c>
      <c r="D5" s="51"/>
    </row>
    <row r="6" spans="2:4">
      <c r="B6" s="10" t="s">
        <v>143</v>
      </c>
      <c r="C6" s="49"/>
      <c r="D6" s="49"/>
    </row>
    <row r="7" spans="2:4" ht="48" customHeight="1">
      <c r="B7" s="10" t="s">
        <v>144</v>
      </c>
      <c r="C7" s="49"/>
      <c r="D7" s="49"/>
    </row>
    <row r="8" spans="2:4" ht="33.75" customHeight="1">
      <c r="B8" s="44" t="s">
        <v>145</v>
      </c>
      <c r="C8" s="49"/>
      <c r="D8" s="49"/>
    </row>
    <row r="9" spans="2:4" ht="39.75" customHeight="1">
      <c r="B9" s="44" t="s">
        <v>146</v>
      </c>
      <c r="C9" s="49"/>
      <c r="D9" s="49"/>
    </row>
    <row r="10" spans="2:4" ht="33.75" customHeight="1">
      <c r="B10" s="10" t="s">
        <v>147</v>
      </c>
      <c r="C10" s="49"/>
      <c r="D10" s="49"/>
    </row>
    <row r="12" spans="2:4" ht="17.100000000000001">
      <c r="B12" s="43" t="s">
        <v>148</v>
      </c>
    </row>
    <row r="13" spans="2:4" ht="21.75" customHeight="1">
      <c r="B13" s="4" t="s">
        <v>149</v>
      </c>
      <c r="C13" s="4" t="s">
        <v>13</v>
      </c>
      <c r="D13" s="4" t="s">
        <v>150</v>
      </c>
    </row>
    <row r="14" spans="2:4" ht="42" customHeight="1">
      <c r="B14" s="15" t="s">
        <v>151</v>
      </c>
      <c r="C14" s="5" t="s">
        <v>152</v>
      </c>
      <c r="D14" s="5" t="s">
        <v>153</v>
      </c>
    </row>
    <row r="15" spans="2:4" ht="30" customHeight="1">
      <c r="B15" s="15" t="s">
        <v>154</v>
      </c>
      <c r="C15" s="5" t="s">
        <v>155</v>
      </c>
      <c r="D15" s="5" t="s">
        <v>156</v>
      </c>
    </row>
    <row r="16" spans="2:4" ht="30" customHeight="1">
      <c r="B16" s="14" t="s">
        <v>157</v>
      </c>
      <c r="C16" s="5" t="s">
        <v>158</v>
      </c>
      <c r="D16" s="5" t="s">
        <v>159</v>
      </c>
    </row>
    <row r="18" spans="2:4" ht="17.100000000000001">
      <c r="B18" s="43" t="s">
        <v>160</v>
      </c>
    </row>
    <row r="19" spans="2:4" ht="21.75" customHeight="1">
      <c r="B19" s="4" t="s">
        <v>161</v>
      </c>
      <c r="C19" s="4" t="s">
        <v>162</v>
      </c>
      <c r="D19" s="4" t="s">
        <v>163</v>
      </c>
    </row>
    <row r="20" spans="2:4" ht="21.75" customHeight="1">
      <c r="B20" s="34" t="s">
        <v>164</v>
      </c>
      <c r="C20" s="27" t="s">
        <v>165</v>
      </c>
      <c r="D20" s="34" t="s">
        <v>166</v>
      </c>
    </row>
    <row r="21" spans="2:4" ht="21.75" customHeight="1">
      <c r="B21" s="7" t="s">
        <v>167</v>
      </c>
      <c r="C21" s="7"/>
      <c r="D21" s="7"/>
    </row>
    <row r="22" spans="2:4" ht="21.75" customHeight="1">
      <c r="B22" s="7"/>
      <c r="C22" s="7"/>
      <c r="D22" s="7"/>
    </row>
    <row r="23" spans="2:4" ht="21.75" customHeight="1">
      <c r="B23" s="7"/>
      <c r="C23" s="7"/>
      <c r="D23" s="7"/>
    </row>
    <row r="24" spans="2:4" ht="21.75" customHeight="1">
      <c r="B24" s="7"/>
      <c r="C24" s="7"/>
      <c r="D24" s="7"/>
    </row>
  </sheetData>
  <mergeCells count="6">
    <mergeCell ref="C10:D10"/>
    <mergeCell ref="C5:D5"/>
    <mergeCell ref="C6:D6"/>
    <mergeCell ref="C7:D7"/>
    <mergeCell ref="C8:D8"/>
    <mergeCell ref="C9:D9"/>
  </mergeCells>
  <dataValidations count="1">
    <dataValidation type="list" allowBlank="1" sqref="C6 C21:C24" xr:uid="{00000000-0002-0000-0400-000000000000}">
      <formula1>"自宅PC（Windows）,自宅PC（Mac）,学校PC,持参ノートPC"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4e0667-7348-4abb-86b3-e9bef84558aa" xsi:nil="true"/>
    <_x610f__x898b_ xmlns="c06503f0-087d-4bed-8b7c-44a1db8da15b" xsi:nil="true"/>
    <_x4f4f__x6240__x3092__x8a18__x5165__x3057__x3066__x304f__x3060__x3055_ xmlns="c06503f0-087d-4bed-8b7c-44a1db8da15b" xsi:nil="true"/>
    <lcf76f155ced4ddcb4097134ff3c332f xmlns="c06503f0-087d-4bed-8b7c-44a1db8da15b">
      <Terms xmlns="http://schemas.microsoft.com/office/infopath/2007/PartnerControls"/>
    </lcf76f155ced4ddcb4097134ff3c332f>
    <_x610f__x898b__x306e__x30bf__x30a4__x30c8__x30eb_ xmlns="c06503f0-087d-4bed-8b7c-44a1db8da15b" xsi:nil="true"/>
    <_x8a72__x5f53__x30da__x30fc__x30b8_ xmlns="c06503f0-087d-4bed-8b7c-44a1db8da15b" xsi:nil="true"/>
    <_x304a__x540d__x524d_ xmlns="c06503f0-087d-4bed-8b7c-44a1db8da1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50AAE5AB7AC142857C523C0A30E10D" ma:contentTypeVersion="16" ma:contentTypeDescription="新しいドキュメントを作成します。" ma:contentTypeScope="" ma:versionID="e091444a7e1cde692802233d3651e46a">
  <xsd:schema xmlns:xsd="http://www.w3.org/2001/XMLSchema" xmlns:xs="http://www.w3.org/2001/XMLSchema" xmlns:p="http://schemas.microsoft.com/office/2006/metadata/properties" xmlns:ns2="c06503f0-087d-4bed-8b7c-44a1db8da15b" xmlns:ns3="684e0667-7348-4abb-86b3-e9bef84558aa" targetNamespace="http://schemas.microsoft.com/office/2006/metadata/properties" ma:root="true" ma:fieldsID="579c7094d922344568ac5ea5492cc918" ns2:_="" ns3:_="">
    <xsd:import namespace="c06503f0-087d-4bed-8b7c-44a1db8da15b"/>
    <xsd:import namespace="684e0667-7348-4abb-86b3-e9bef8455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4f4f__x6240__x3092__x8a18__x5165__x3057__x3066__x304f__x3060__x3055_" minOccurs="0"/>
                <xsd:element ref="ns2:_x304a__x540d__x524d_" minOccurs="0"/>
                <xsd:element ref="ns2:_x8a72__x5f53__x30da__x30fc__x30b8_" minOccurs="0"/>
                <xsd:element ref="ns2:_x610f__x898b__x306e__x30bf__x30a4__x30c8__x30eb_" minOccurs="0"/>
                <xsd:element ref="ns2:_x610f__x898b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503f0-087d-4bed-8b7c-44a1db8da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4f4f__x6240__x3092__x8a18__x5165__x3057__x3066__x304f__x3060__x3055_" ma:index="19" nillable="true" ma:displayName="住所を記入してくださ" ma:internalName="_x4f4f__x6240__x3092__x8a18__x5165__x3057__x3066__x304f__x3060__x3055_">
      <xsd:simpleType>
        <xsd:restriction base="dms:Text"/>
      </xsd:simpleType>
    </xsd:element>
    <xsd:element name="_x304a__x540d__x524d_" ma:index="20" nillable="true" ma:displayName="お名前" ma:internalName="_x304a__x540d__x524d_">
      <xsd:simpleType>
        <xsd:restriction base="dms:Text"/>
      </xsd:simpleType>
    </xsd:element>
    <xsd:element name="_x8a72__x5f53__x30da__x30fc__x30b8_" ma:index="21" nillable="true" ma:displayName="該当ページ" ma:internalName="_x8a72__x5f53__x30da__x30fc__x30b8_">
      <xsd:simpleType>
        <xsd:restriction base="dms:Number"/>
      </xsd:simpleType>
    </xsd:element>
    <xsd:element name="_x610f__x898b__x306e__x30bf__x30a4__x30c8__x30eb_" ma:index="22" nillable="true" ma:displayName="意見のタイトル" ma:internalName="_x610f__x898b__x306e__x30bf__x30a4__x30c8__x30eb_">
      <xsd:simpleType>
        <xsd:restriction base="dms:Note">
          <xsd:maxLength value="255"/>
        </xsd:restriction>
      </xsd:simpleType>
    </xsd:element>
    <xsd:element name="_x610f__x898b_" ma:index="23" nillable="true" ma:displayName="意見" ma:internalName="_x610f__x898b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e0667-7348-4abb-86b3-e9bef84558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f2bcef-176d-4621-aa0f-20742a0b6244}" ma:internalName="TaxCatchAll" ma:showField="CatchAllData" ma:web="684e0667-7348-4abb-86b3-e9bef84558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C2C3A4-3905-4B08-A256-32F396469656}"/>
</file>

<file path=customXml/itemProps2.xml><?xml version="1.0" encoding="utf-8"?>
<ds:datastoreItem xmlns:ds="http://schemas.openxmlformats.org/officeDocument/2006/customXml" ds:itemID="{5A0FAF05-8B09-43BD-A606-04411760B94E}"/>
</file>

<file path=customXml/itemProps3.xml><?xml version="1.0" encoding="utf-8"?>
<ds:datastoreItem xmlns:ds="http://schemas.openxmlformats.org/officeDocument/2006/customXml" ds:itemID="{372C4229-E3CE-4CD0-B76C-F7793CAF1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菊地 蒼河</cp:lastModifiedBy>
  <cp:revision>0</cp:revision>
  <dcterms:created xsi:type="dcterms:W3CDTF">2026-10-24T12:51:33Z</dcterms:created>
  <dcterms:modified xsi:type="dcterms:W3CDTF">2026-10-26T08:05:21Z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0x010100A950AAE5AB7AC142857C523C0A30E10D</vt:lpwstr>
  </property>
  <property fmtid="{D5CDD505-2E9C-101B-9397-08002B2CF9AE}" pid="3" name="MediaServiceImageTags">
    <vt:lpwstr/>
  </property>
</Properties>
</file>